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l\Downloads\"/>
    </mc:Choice>
  </mc:AlternateContent>
  <xr:revisionPtr revIDLastSave="0" documentId="13_ncr:1_{D5745D3D-39D0-47D7-AC51-7C059BB58AE9}" xr6:coauthVersionLast="47" xr6:coauthVersionMax="47" xr10:uidLastSave="{00000000-0000-0000-0000-000000000000}"/>
  <bookViews>
    <workbookView xWindow="-108" yWindow="-108" windowWidth="23256" windowHeight="12456" tabRatio="500" activeTab="1" xr2:uid="{00000000-000D-0000-FFFF-FFFF00000000}"/>
  </bookViews>
  <sheets>
    <sheet name="Guide" sheetId="20" r:id="rId1"/>
    <sheet name="Midterm" sheetId="1" r:id="rId2"/>
    <sheet name="Final" sheetId="18" r:id="rId3"/>
    <sheet name="Semestral" sheetId="3" r:id="rId4"/>
  </sheets>
  <definedNames>
    <definedName name="ComputedGrade">!XEP1+!XEW1+!XEZ1+!XFC1+!XEQ1*!$F$12+!XER1*!$G$12</definedName>
    <definedName name="Dropped">"OR(Prelims!C15=""drp"",C15=""drp"")"</definedName>
    <definedName name="EQTable">Semestral!$M$14:$N$23</definedName>
    <definedName name="Incomplete">OR(ISBLANK(!XFA1),ISBLANK(!XER1))</definedName>
    <definedName name="PFactor">(!$J$9-75)/(1-!$D$8)</definedName>
    <definedName name="_xlnm.Print_Area" localSheetId="2">Final!$A$1:$U$59</definedName>
    <definedName name="_xlnm.Print_Area" localSheetId="1">Midterm!$A$1:$U$59</definedName>
    <definedName name="_xlnm.Print_Area" localSheetId="3">Semestral!$A$6:$I$72</definedName>
    <definedName name="Transmute">IF(!XFD1&gt;=!P$12,(!XFD1-!P$12)*!P$13+75,!XFD1*!P$14+!$G$9)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4" i="3" l="1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C60" i="3"/>
  <c r="J59" i="3"/>
  <c r="I59" i="3"/>
  <c r="H59" i="3"/>
  <c r="G59" i="3"/>
  <c r="F59" i="3"/>
  <c r="E59" i="3"/>
  <c r="D59" i="3"/>
  <c r="C59" i="3"/>
  <c r="B59" i="3"/>
  <c r="A59" i="3"/>
  <c r="J58" i="3"/>
  <c r="I58" i="3"/>
  <c r="H58" i="3"/>
  <c r="G58" i="3"/>
  <c r="F58" i="3"/>
  <c r="E58" i="3"/>
  <c r="D58" i="3"/>
  <c r="C58" i="3"/>
  <c r="B58" i="3"/>
  <c r="A58" i="3"/>
  <c r="J57" i="3"/>
  <c r="I57" i="3"/>
  <c r="H57" i="3"/>
  <c r="G57" i="3"/>
  <c r="F57" i="3"/>
  <c r="E57" i="3"/>
  <c r="D57" i="3"/>
  <c r="C57" i="3"/>
  <c r="B57" i="3"/>
  <c r="A57" i="3"/>
  <c r="J56" i="3"/>
  <c r="I56" i="3"/>
  <c r="H56" i="3"/>
  <c r="G56" i="3"/>
  <c r="F56" i="3"/>
  <c r="E56" i="3"/>
  <c r="D56" i="3"/>
  <c r="C56" i="3"/>
  <c r="B56" i="3"/>
  <c r="A56" i="3"/>
  <c r="J55" i="3"/>
  <c r="I55" i="3"/>
  <c r="H55" i="3"/>
  <c r="G55" i="3"/>
  <c r="F55" i="3"/>
  <c r="E55" i="3"/>
  <c r="D55" i="3"/>
  <c r="C55" i="3"/>
  <c r="B55" i="3"/>
  <c r="A55" i="3"/>
  <c r="J54" i="3"/>
  <c r="I54" i="3"/>
  <c r="H54" i="3"/>
  <c r="G54" i="3"/>
  <c r="F54" i="3"/>
  <c r="E54" i="3"/>
  <c r="D54" i="3"/>
  <c r="C54" i="3"/>
  <c r="B54" i="3"/>
  <c r="A54" i="3"/>
  <c r="H53" i="3"/>
  <c r="G53" i="3"/>
  <c r="F53" i="3"/>
  <c r="D53" i="3"/>
  <c r="B53" i="3"/>
  <c r="A53" i="3"/>
  <c r="H52" i="3"/>
  <c r="G52" i="3" s="1"/>
  <c r="F52" i="3"/>
  <c r="B52" i="3"/>
  <c r="A52" i="3"/>
  <c r="H51" i="3"/>
  <c r="G51" i="3" s="1"/>
  <c r="F51" i="3"/>
  <c r="B51" i="3"/>
  <c r="A51" i="3"/>
  <c r="H50" i="3"/>
  <c r="G50" i="3" s="1"/>
  <c r="F50" i="3"/>
  <c r="B50" i="3"/>
  <c r="A50" i="3"/>
  <c r="H49" i="3"/>
  <c r="G49" i="3" s="1"/>
  <c r="F49" i="3"/>
  <c r="B49" i="3"/>
  <c r="A49" i="3"/>
  <c r="H48" i="3"/>
  <c r="G48" i="3" s="1"/>
  <c r="F48" i="3"/>
  <c r="B48" i="3"/>
  <c r="A48" i="3"/>
  <c r="H47" i="3"/>
  <c r="G47" i="3" s="1"/>
  <c r="F47" i="3"/>
  <c r="B47" i="3"/>
  <c r="A47" i="3"/>
  <c r="H46" i="3"/>
  <c r="G46" i="3" s="1"/>
  <c r="F46" i="3"/>
  <c r="B46" i="3"/>
  <c r="A46" i="3"/>
  <c r="H45" i="3"/>
  <c r="G45" i="3" s="1"/>
  <c r="F45" i="3"/>
  <c r="B45" i="3"/>
  <c r="A45" i="3"/>
  <c r="H44" i="3"/>
  <c r="G44" i="3" s="1"/>
  <c r="F44" i="3"/>
  <c r="B44" i="3"/>
  <c r="A44" i="3"/>
  <c r="H43" i="3"/>
  <c r="G43" i="3" s="1"/>
  <c r="F43" i="3"/>
  <c r="B43" i="3"/>
  <c r="A43" i="3"/>
  <c r="H42" i="3"/>
  <c r="G42" i="3" s="1"/>
  <c r="F42" i="3"/>
  <c r="B42" i="3"/>
  <c r="A42" i="3"/>
  <c r="H41" i="3"/>
  <c r="G41" i="3" s="1"/>
  <c r="F41" i="3"/>
  <c r="B41" i="3"/>
  <c r="A41" i="3"/>
  <c r="H40" i="3"/>
  <c r="G40" i="3" s="1"/>
  <c r="F40" i="3"/>
  <c r="B40" i="3"/>
  <c r="A40" i="3"/>
  <c r="H39" i="3"/>
  <c r="G39" i="3" s="1"/>
  <c r="F39" i="3"/>
  <c r="B39" i="3"/>
  <c r="A39" i="3"/>
  <c r="H38" i="3"/>
  <c r="G38" i="3" s="1"/>
  <c r="F38" i="3"/>
  <c r="B38" i="3"/>
  <c r="A38" i="3"/>
  <c r="H37" i="3"/>
  <c r="G37" i="3" s="1"/>
  <c r="F37" i="3"/>
  <c r="B37" i="3"/>
  <c r="A37" i="3"/>
  <c r="H36" i="3"/>
  <c r="G36" i="3" s="1"/>
  <c r="F36" i="3"/>
  <c r="B36" i="3"/>
  <c r="A36" i="3"/>
  <c r="H35" i="3"/>
  <c r="G35" i="3" s="1"/>
  <c r="F35" i="3"/>
  <c r="B35" i="3"/>
  <c r="A35" i="3"/>
  <c r="H34" i="3"/>
  <c r="G34" i="3" s="1"/>
  <c r="F34" i="3"/>
  <c r="B34" i="3"/>
  <c r="A34" i="3"/>
  <c r="H33" i="3"/>
  <c r="G33" i="3" s="1"/>
  <c r="F33" i="3"/>
  <c r="B33" i="3"/>
  <c r="A33" i="3"/>
  <c r="H32" i="3"/>
  <c r="G32" i="3" s="1"/>
  <c r="F32" i="3"/>
  <c r="B32" i="3"/>
  <c r="A32" i="3"/>
  <c r="H31" i="3"/>
  <c r="G31" i="3" s="1"/>
  <c r="F31" i="3"/>
  <c r="B31" i="3"/>
  <c r="A31" i="3"/>
  <c r="H30" i="3"/>
  <c r="G30" i="3" s="1"/>
  <c r="F30" i="3"/>
  <c r="B30" i="3"/>
  <c r="A30" i="3"/>
  <c r="H29" i="3"/>
  <c r="G29" i="3" s="1"/>
  <c r="F29" i="3"/>
  <c r="B29" i="3"/>
  <c r="A29" i="3"/>
  <c r="N28" i="3"/>
  <c r="M28" i="3"/>
  <c r="H28" i="3"/>
  <c r="G28" i="3" s="1"/>
  <c r="F28" i="3"/>
  <c r="B28" i="3"/>
  <c r="A28" i="3"/>
  <c r="N27" i="3"/>
  <c r="M27" i="3"/>
  <c r="H27" i="3"/>
  <c r="G27" i="3" s="1"/>
  <c r="F27" i="3"/>
  <c r="B27" i="3"/>
  <c r="A27" i="3"/>
  <c r="H26" i="3"/>
  <c r="G26" i="3" s="1"/>
  <c r="F26" i="3"/>
  <c r="B26" i="3"/>
  <c r="A26" i="3"/>
  <c r="H25" i="3"/>
  <c r="G25" i="3" s="1"/>
  <c r="F25" i="3"/>
  <c r="B25" i="3"/>
  <c r="A25" i="3"/>
  <c r="H24" i="3"/>
  <c r="G24" i="3" s="1"/>
  <c r="F24" i="3"/>
  <c r="B24" i="3"/>
  <c r="A24" i="3"/>
  <c r="H23" i="3"/>
  <c r="G23" i="3" s="1"/>
  <c r="F23" i="3"/>
  <c r="B23" i="3"/>
  <c r="A23" i="3"/>
  <c r="H22" i="3"/>
  <c r="G22" i="3" s="1"/>
  <c r="F22" i="3"/>
  <c r="B22" i="3"/>
  <c r="A22" i="3"/>
  <c r="H21" i="3"/>
  <c r="G21" i="3" s="1"/>
  <c r="F21" i="3"/>
  <c r="B21" i="3"/>
  <c r="A21" i="3"/>
  <c r="H20" i="3"/>
  <c r="G20" i="3" s="1"/>
  <c r="F20" i="3"/>
  <c r="B20" i="3"/>
  <c r="A20" i="3"/>
  <c r="H19" i="3"/>
  <c r="G19" i="3" s="1"/>
  <c r="F19" i="3"/>
  <c r="B19" i="3"/>
  <c r="A19" i="3"/>
  <c r="H18" i="3"/>
  <c r="G18" i="3" s="1"/>
  <c r="F18" i="3"/>
  <c r="B18" i="3"/>
  <c r="A18" i="3"/>
  <c r="H17" i="3"/>
  <c r="G17" i="3" s="1"/>
  <c r="F17" i="3"/>
  <c r="B17" i="3"/>
  <c r="A17" i="3"/>
  <c r="H16" i="3"/>
  <c r="G16" i="3" s="1"/>
  <c r="F16" i="3"/>
  <c r="B16" i="3"/>
  <c r="A16" i="3"/>
  <c r="B15" i="3"/>
  <c r="C9" i="3"/>
  <c r="G8" i="3"/>
  <c r="F8" i="3"/>
  <c r="E8" i="3"/>
  <c r="C8" i="3"/>
  <c r="C7" i="3"/>
  <c r="U59" i="18"/>
  <c r="T59" i="18"/>
  <c r="S59" i="18"/>
  <c r="R59" i="18"/>
  <c r="Q59" i="18"/>
  <c r="O59" i="18"/>
  <c r="N59" i="18"/>
  <c r="L59" i="18"/>
  <c r="K59" i="18"/>
  <c r="I59" i="18"/>
  <c r="E59" i="18"/>
  <c r="B59" i="18"/>
  <c r="A59" i="18"/>
  <c r="U58" i="18"/>
  <c r="T58" i="18"/>
  <c r="S58" i="18"/>
  <c r="R58" i="18"/>
  <c r="Q58" i="18"/>
  <c r="O58" i="18"/>
  <c r="N58" i="18"/>
  <c r="L58" i="18"/>
  <c r="K58" i="18"/>
  <c r="I58" i="18"/>
  <c r="E58" i="18"/>
  <c r="B58" i="18"/>
  <c r="A58" i="18"/>
  <c r="U57" i="18"/>
  <c r="T57" i="18"/>
  <c r="S57" i="18"/>
  <c r="R57" i="18"/>
  <c r="Q57" i="18"/>
  <c r="O57" i="18"/>
  <c r="N57" i="18"/>
  <c r="L57" i="18"/>
  <c r="K57" i="18"/>
  <c r="I57" i="18"/>
  <c r="E57" i="18"/>
  <c r="B57" i="18"/>
  <c r="A57" i="18"/>
  <c r="U56" i="18"/>
  <c r="T56" i="18"/>
  <c r="S56" i="18"/>
  <c r="R56" i="18"/>
  <c r="Q56" i="18"/>
  <c r="O56" i="18"/>
  <c r="N56" i="18"/>
  <c r="L56" i="18"/>
  <c r="K56" i="18"/>
  <c r="I56" i="18"/>
  <c r="E56" i="18"/>
  <c r="B56" i="18"/>
  <c r="A56" i="18"/>
  <c r="U55" i="18"/>
  <c r="T55" i="18"/>
  <c r="S55" i="18"/>
  <c r="R55" i="18"/>
  <c r="Q55" i="18"/>
  <c r="O55" i="18"/>
  <c r="N55" i="18"/>
  <c r="L55" i="18"/>
  <c r="K55" i="18"/>
  <c r="I55" i="18"/>
  <c r="E55" i="18"/>
  <c r="B55" i="18"/>
  <c r="A55" i="18"/>
  <c r="U54" i="18"/>
  <c r="T54" i="18"/>
  <c r="S54" i="18"/>
  <c r="R54" i="18"/>
  <c r="Q54" i="18"/>
  <c r="O54" i="18"/>
  <c r="N54" i="18"/>
  <c r="L54" i="18"/>
  <c r="K54" i="18"/>
  <c r="I54" i="18"/>
  <c r="E54" i="18"/>
  <c r="B54" i="18"/>
  <c r="A54" i="18"/>
  <c r="U53" i="18"/>
  <c r="T53" i="18"/>
  <c r="S53" i="18"/>
  <c r="R53" i="18"/>
  <c r="Q53" i="18"/>
  <c r="O53" i="18"/>
  <c r="N53" i="18"/>
  <c r="L53" i="18"/>
  <c r="K53" i="18"/>
  <c r="I53" i="18"/>
  <c r="E53" i="18"/>
  <c r="B53" i="18"/>
  <c r="A53" i="18"/>
  <c r="U52" i="18"/>
  <c r="T52" i="18"/>
  <c r="S52" i="18"/>
  <c r="R52" i="18"/>
  <c r="Q52" i="18"/>
  <c r="O52" i="18"/>
  <c r="N52" i="18"/>
  <c r="L52" i="18"/>
  <c r="K52" i="18"/>
  <c r="I52" i="18"/>
  <c r="E52" i="18"/>
  <c r="B52" i="18"/>
  <c r="A52" i="18"/>
  <c r="U51" i="18"/>
  <c r="T51" i="18"/>
  <c r="S51" i="18"/>
  <c r="R51" i="18"/>
  <c r="Q51" i="18"/>
  <c r="O51" i="18"/>
  <c r="N51" i="18"/>
  <c r="L51" i="18"/>
  <c r="K51" i="18"/>
  <c r="I51" i="18"/>
  <c r="E51" i="18"/>
  <c r="B51" i="18"/>
  <c r="A51" i="18"/>
  <c r="U50" i="18"/>
  <c r="T50" i="18"/>
  <c r="S50" i="18"/>
  <c r="R50" i="18"/>
  <c r="Q50" i="18"/>
  <c r="O50" i="18"/>
  <c r="N50" i="18"/>
  <c r="L50" i="18"/>
  <c r="K50" i="18"/>
  <c r="I50" i="18"/>
  <c r="E50" i="18"/>
  <c r="B50" i="18"/>
  <c r="A50" i="18"/>
  <c r="U49" i="18"/>
  <c r="T49" i="18"/>
  <c r="S49" i="18"/>
  <c r="R49" i="18"/>
  <c r="Q49" i="18"/>
  <c r="O49" i="18"/>
  <c r="N49" i="18"/>
  <c r="L49" i="18"/>
  <c r="K49" i="18"/>
  <c r="I49" i="18"/>
  <c r="E49" i="18"/>
  <c r="B49" i="18"/>
  <c r="A49" i="18"/>
  <c r="U48" i="18"/>
  <c r="T48" i="18"/>
  <c r="S48" i="18"/>
  <c r="R48" i="18"/>
  <c r="Q48" i="18"/>
  <c r="O48" i="18"/>
  <c r="N48" i="18"/>
  <c r="L48" i="18"/>
  <c r="K48" i="18"/>
  <c r="I48" i="18"/>
  <c r="E48" i="18"/>
  <c r="B48" i="18"/>
  <c r="A48" i="18"/>
  <c r="U47" i="18"/>
  <c r="T47" i="18"/>
  <c r="S47" i="18"/>
  <c r="R47" i="18"/>
  <c r="Q47" i="18"/>
  <c r="O47" i="18"/>
  <c r="N47" i="18"/>
  <c r="L47" i="18"/>
  <c r="K47" i="18"/>
  <c r="I47" i="18"/>
  <c r="E47" i="18"/>
  <c r="B47" i="18"/>
  <c r="A47" i="18"/>
  <c r="U46" i="18"/>
  <c r="T46" i="18"/>
  <c r="S46" i="18"/>
  <c r="R46" i="18"/>
  <c r="Q46" i="18"/>
  <c r="O46" i="18"/>
  <c r="N46" i="18"/>
  <c r="L46" i="18"/>
  <c r="K46" i="18"/>
  <c r="I46" i="18"/>
  <c r="E46" i="18"/>
  <c r="B46" i="18"/>
  <c r="A46" i="18"/>
  <c r="U45" i="18"/>
  <c r="T45" i="18"/>
  <c r="S45" i="18"/>
  <c r="R45" i="18"/>
  <c r="Q45" i="18"/>
  <c r="O45" i="18"/>
  <c r="N45" i="18"/>
  <c r="L45" i="18"/>
  <c r="K45" i="18"/>
  <c r="I45" i="18"/>
  <c r="E45" i="18"/>
  <c r="B45" i="18"/>
  <c r="A45" i="18"/>
  <c r="U44" i="18"/>
  <c r="T44" i="18"/>
  <c r="S44" i="18"/>
  <c r="R44" i="18"/>
  <c r="Q44" i="18"/>
  <c r="O44" i="18"/>
  <c r="N44" i="18"/>
  <c r="L44" i="18"/>
  <c r="K44" i="18"/>
  <c r="I44" i="18"/>
  <c r="E44" i="18"/>
  <c r="B44" i="18"/>
  <c r="A44" i="18"/>
  <c r="U43" i="18"/>
  <c r="T43" i="18"/>
  <c r="S43" i="18"/>
  <c r="R43" i="18"/>
  <c r="Q43" i="18"/>
  <c r="O43" i="18"/>
  <c r="N43" i="18"/>
  <c r="L43" i="18"/>
  <c r="K43" i="18"/>
  <c r="I43" i="18"/>
  <c r="E43" i="18"/>
  <c r="B43" i="18"/>
  <c r="A43" i="18"/>
  <c r="U42" i="18"/>
  <c r="T42" i="18"/>
  <c r="S42" i="18"/>
  <c r="R42" i="18"/>
  <c r="Q42" i="18"/>
  <c r="O42" i="18"/>
  <c r="N42" i="18"/>
  <c r="L42" i="18"/>
  <c r="K42" i="18"/>
  <c r="I42" i="18"/>
  <c r="E42" i="18"/>
  <c r="B42" i="18"/>
  <c r="A42" i="18"/>
  <c r="U41" i="18"/>
  <c r="T41" i="18"/>
  <c r="S41" i="18"/>
  <c r="R41" i="18"/>
  <c r="Q41" i="18"/>
  <c r="O41" i="18"/>
  <c r="N41" i="18"/>
  <c r="L41" i="18"/>
  <c r="K41" i="18"/>
  <c r="I41" i="18"/>
  <c r="E41" i="18"/>
  <c r="B41" i="18"/>
  <c r="A41" i="18"/>
  <c r="U40" i="18"/>
  <c r="T40" i="18"/>
  <c r="S40" i="18"/>
  <c r="R40" i="18"/>
  <c r="Q40" i="18"/>
  <c r="O40" i="18"/>
  <c r="N40" i="18"/>
  <c r="L40" i="18"/>
  <c r="K40" i="18"/>
  <c r="I40" i="18"/>
  <c r="E40" i="18"/>
  <c r="B40" i="18"/>
  <c r="A40" i="18"/>
  <c r="U39" i="18"/>
  <c r="T39" i="18"/>
  <c r="S39" i="18"/>
  <c r="R39" i="18"/>
  <c r="Q39" i="18"/>
  <c r="O39" i="18"/>
  <c r="N39" i="18"/>
  <c r="L39" i="18"/>
  <c r="K39" i="18"/>
  <c r="I39" i="18"/>
  <c r="E39" i="18"/>
  <c r="B39" i="18"/>
  <c r="A39" i="18"/>
  <c r="U38" i="18"/>
  <c r="T38" i="18"/>
  <c r="S38" i="18"/>
  <c r="R38" i="18"/>
  <c r="Q38" i="18"/>
  <c r="O38" i="18"/>
  <c r="N38" i="18"/>
  <c r="L38" i="18"/>
  <c r="K38" i="18"/>
  <c r="I38" i="18"/>
  <c r="E38" i="18"/>
  <c r="B38" i="18"/>
  <c r="A38" i="18"/>
  <c r="U37" i="18"/>
  <c r="T37" i="18"/>
  <c r="S37" i="18"/>
  <c r="R37" i="18"/>
  <c r="Q37" i="18"/>
  <c r="O37" i="18"/>
  <c r="N37" i="18"/>
  <c r="L37" i="18"/>
  <c r="K37" i="18"/>
  <c r="I37" i="18"/>
  <c r="E37" i="18"/>
  <c r="B37" i="18"/>
  <c r="A37" i="18"/>
  <c r="U36" i="18"/>
  <c r="T36" i="18"/>
  <c r="S36" i="18"/>
  <c r="R36" i="18"/>
  <c r="Q36" i="18"/>
  <c r="O36" i="18"/>
  <c r="N36" i="18"/>
  <c r="L36" i="18"/>
  <c r="K36" i="18"/>
  <c r="I36" i="18"/>
  <c r="E36" i="18"/>
  <c r="B36" i="18"/>
  <c r="A36" i="18"/>
  <c r="U35" i="18"/>
  <c r="T35" i="18"/>
  <c r="S35" i="18"/>
  <c r="R35" i="18"/>
  <c r="Q35" i="18"/>
  <c r="O35" i="18"/>
  <c r="N35" i="18"/>
  <c r="L35" i="18"/>
  <c r="K35" i="18"/>
  <c r="I35" i="18"/>
  <c r="E35" i="18"/>
  <c r="B35" i="18"/>
  <c r="A35" i="18"/>
  <c r="U34" i="18"/>
  <c r="T34" i="18"/>
  <c r="S34" i="18"/>
  <c r="R34" i="18"/>
  <c r="Q34" i="18"/>
  <c r="O34" i="18"/>
  <c r="N34" i="18"/>
  <c r="L34" i="18"/>
  <c r="K34" i="18"/>
  <c r="I34" i="18"/>
  <c r="E34" i="18"/>
  <c r="B34" i="18"/>
  <c r="A34" i="18"/>
  <c r="U33" i="18"/>
  <c r="T33" i="18"/>
  <c r="S33" i="18"/>
  <c r="R33" i="18"/>
  <c r="Q33" i="18"/>
  <c r="O33" i="18"/>
  <c r="N33" i="18"/>
  <c r="L33" i="18"/>
  <c r="K33" i="18"/>
  <c r="I33" i="18"/>
  <c r="E33" i="18"/>
  <c r="B33" i="18"/>
  <c r="A33" i="18"/>
  <c r="U32" i="18"/>
  <c r="T32" i="18"/>
  <c r="S32" i="18"/>
  <c r="R32" i="18"/>
  <c r="Q32" i="18"/>
  <c r="O32" i="18"/>
  <c r="N32" i="18"/>
  <c r="L32" i="18"/>
  <c r="K32" i="18"/>
  <c r="I32" i="18"/>
  <c r="E32" i="18"/>
  <c r="B32" i="18"/>
  <c r="A32" i="18"/>
  <c r="U31" i="18"/>
  <c r="T31" i="18"/>
  <c r="S31" i="18"/>
  <c r="R31" i="18"/>
  <c r="Q31" i="18"/>
  <c r="O31" i="18"/>
  <c r="N31" i="18"/>
  <c r="L31" i="18"/>
  <c r="K31" i="18"/>
  <c r="I31" i="18"/>
  <c r="E31" i="18"/>
  <c r="B31" i="18"/>
  <c r="A31" i="18"/>
  <c r="U30" i="18"/>
  <c r="T30" i="18"/>
  <c r="S30" i="18"/>
  <c r="R30" i="18"/>
  <c r="Q30" i="18"/>
  <c r="O30" i="18"/>
  <c r="N30" i="18"/>
  <c r="L30" i="18"/>
  <c r="K30" i="18"/>
  <c r="I30" i="18"/>
  <c r="E30" i="18"/>
  <c r="B30" i="18"/>
  <c r="A30" i="18"/>
  <c r="U29" i="18"/>
  <c r="T29" i="18"/>
  <c r="S29" i="18"/>
  <c r="R29" i="18"/>
  <c r="Q29" i="18"/>
  <c r="O29" i="18"/>
  <c r="N29" i="18"/>
  <c r="L29" i="18"/>
  <c r="K29" i="18"/>
  <c r="I29" i="18"/>
  <c r="E29" i="18"/>
  <c r="B29" i="18"/>
  <c r="A29" i="18"/>
  <c r="U28" i="18"/>
  <c r="T28" i="18"/>
  <c r="S28" i="18"/>
  <c r="R28" i="18"/>
  <c r="Q28" i="18"/>
  <c r="O28" i="18"/>
  <c r="N28" i="18"/>
  <c r="L28" i="18"/>
  <c r="K28" i="18"/>
  <c r="I28" i="18"/>
  <c r="E28" i="18"/>
  <c r="B28" i="18"/>
  <c r="A28" i="18"/>
  <c r="U27" i="18"/>
  <c r="T27" i="18"/>
  <c r="S27" i="18"/>
  <c r="R27" i="18"/>
  <c r="Q27" i="18"/>
  <c r="O27" i="18"/>
  <c r="N27" i="18"/>
  <c r="L27" i="18"/>
  <c r="K27" i="18"/>
  <c r="I27" i="18"/>
  <c r="E27" i="18"/>
  <c r="B27" i="18"/>
  <c r="A27" i="18"/>
  <c r="U26" i="18"/>
  <c r="T26" i="18"/>
  <c r="S26" i="18"/>
  <c r="R26" i="18"/>
  <c r="Q26" i="18"/>
  <c r="O26" i="18"/>
  <c r="N26" i="18"/>
  <c r="L26" i="18"/>
  <c r="K26" i="18"/>
  <c r="I26" i="18"/>
  <c r="E26" i="18"/>
  <c r="B26" i="18"/>
  <c r="A26" i="18"/>
  <c r="U25" i="18"/>
  <c r="T25" i="18"/>
  <c r="S25" i="18"/>
  <c r="R25" i="18"/>
  <c r="Q25" i="18"/>
  <c r="O25" i="18"/>
  <c r="N25" i="18"/>
  <c r="L25" i="18"/>
  <c r="K25" i="18"/>
  <c r="I25" i="18"/>
  <c r="E25" i="18"/>
  <c r="B25" i="18"/>
  <c r="A25" i="18"/>
  <c r="U24" i="18"/>
  <c r="T24" i="18"/>
  <c r="S24" i="18"/>
  <c r="R24" i="18"/>
  <c r="Q24" i="18"/>
  <c r="O24" i="18"/>
  <c r="N24" i="18"/>
  <c r="L24" i="18"/>
  <c r="K24" i="18"/>
  <c r="I24" i="18"/>
  <c r="E24" i="18"/>
  <c r="B24" i="18"/>
  <c r="A24" i="18"/>
  <c r="U23" i="18"/>
  <c r="T23" i="18"/>
  <c r="S23" i="18"/>
  <c r="R23" i="18"/>
  <c r="Q23" i="18"/>
  <c r="O23" i="18"/>
  <c r="N23" i="18"/>
  <c r="L23" i="18"/>
  <c r="K23" i="18"/>
  <c r="I23" i="18"/>
  <c r="E23" i="18"/>
  <c r="B23" i="18"/>
  <c r="A23" i="18"/>
  <c r="U22" i="18"/>
  <c r="T22" i="18"/>
  <c r="S22" i="18"/>
  <c r="R22" i="18"/>
  <c r="Q22" i="18"/>
  <c r="O22" i="18"/>
  <c r="N22" i="18"/>
  <c r="L22" i="18"/>
  <c r="K22" i="18"/>
  <c r="I22" i="18"/>
  <c r="E22" i="18"/>
  <c r="B22" i="18"/>
  <c r="A22" i="18"/>
  <c r="U21" i="18"/>
  <c r="T21" i="18"/>
  <c r="S21" i="18"/>
  <c r="R21" i="18"/>
  <c r="Q21" i="18"/>
  <c r="O21" i="18"/>
  <c r="N21" i="18"/>
  <c r="L21" i="18"/>
  <c r="K21" i="18"/>
  <c r="I21" i="18"/>
  <c r="E21" i="18"/>
  <c r="B21" i="18"/>
  <c r="A21" i="18"/>
  <c r="U20" i="18"/>
  <c r="T20" i="18"/>
  <c r="S20" i="18"/>
  <c r="R20" i="18"/>
  <c r="Q20" i="18"/>
  <c r="O20" i="18"/>
  <c r="N20" i="18"/>
  <c r="L20" i="18"/>
  <c r="K20" i="18"/>
  <c r="I20" i="18"/>
  <c r="E20" i="18"/>
  <c r="B20" i="18"/>
  <c r="A20" i="18"/>
  <c r="U19" i="18"/>
  <c r="T19" i="18"/>
  <c r="S19" i="18"/>
  <c r="R19" i="18"/>
  <c r="Q19" i="18"/>
  <c r="O19" i="18"/>
  <c r="N19" i="18"/>
  <c r="L19" i="18"/>
  <c r="K19" i="18"/>
  <c r="I19" i="18"/>
  <c r="E19" i="18"/>
  <c r="B19" i="18"/>
  <c r="A19" i="18"/>
  <c r="U18" i="18"/>
  <c r="T18" i="18"/>
  <c r="S18" i="18"/>
  <c r="R18" i="18"/>
  <c r="Q18" i="18"/>
  <c r="O18" i="18"/>
  <c r="N18" i="18"/>
  <c r="L18" i="18"/>
  <c r="K18" i="18"/>
  <c r="I18" i="18"/>
  <c r="E18" i="18"/>
  <c r="B18" i="18"/>
  <c r="A18" i="18"/>
  <c r="U17" i="18"/>
  <c r="T17" i="18"/>
  <c r="S17" i="18"/>
  <c r="R17" i="18"/>
  <c r="Q17" i="18"/>
  <c r="O17" i="18"/>
  <c r="N17" i="18"/>
  <c r="L17" i="18"/>
  <c r="K17" i="18"/>
  <c r="I17" i="18"/>
  <c r="E17" i="18"/>
  <c r="B17" i="18"/>
  <c r="A17" i="18"/>
  <c r="U16" i="18"/>
  <c r="T16" i="18"/>
  <c r="S16" i="18"/>
  <c r="R16" i="18"/>
  <c r="Q16" i="18"/>
  <c r="O16" i="18"/>
  <c r="N16" i="18"/>
  <c r="L16" i="18"/>
  <c r="K16" i="18"/>
  <c r="I16" i="18"/>
  <c r="E16" i="18"/>
  <c r="B16" i="18"/>
  <c r="A16" i="18"/>
  <c r="R15" i="18"/>
  <c r="Q15" i="18"/>
  <c r="O15" i="18"/>
  <c r="N15" i="18"/>
  <c r="L15" i="18"/>
  <c r="K15" i="18"/>
  <c r="I15" i="18"/>
  <c r="E15" i="18"/>
  <c r="B15" i="18"/>
  <c r="AF14" i="18"/>
  <c r="AC14" i="18"/>
  <c r="Z14" i="18"/>
  <c r="X14" i="18"/>
  <c r="AF13" i="18"/>
  <c r="AC13" i="18"/>
  <c r="Z13" i="18"/>
  <c r="X13" i="18"/>
  <c r="AF12" i="18"/>
  <c r="AC12" i="18"/>
  <c r="Z12" i="18"/>
  <c r="X12" i="18"/>
  <c r="U12" i="18"/>
  <c r="J9" i="18"/>
  <c r="D9" i="18"/>
  <c r="F3" i="18"/>
  <c r="C2" i="18"/>
  <c r="I1" i="18"/>
  <c r="F1" i="18"/>
  <c r="C1" i="18"/>
  <c r="U59" i="1"/>
  <c r="T59" i="1"/>
  <c r="S59" i="1"/>
  <c r="R59" i="1"/>
  <c r="Q59" i="1"/>
  <c r="O59" i="1"/>
  <c r="N59" i="1"/>
  <c r="L59" i="1"/>
  <c r="K59" i="1"/>
  <c r="I59" i="1"/>
  <c r="E59" i="1"/>
  <c r="A59" i="1"/>
  <c r="U58" i="1"/>
  <c r="T58" i="1"/>
  <c r="S58" i="1"/>
  <c r="R58" i="1"/>
  <c r="Q58" i="1"/>
  <c r="O58" i="1"/>
  <c r="N58" i="1"/>
  <c r="L58" i="1"/>
  <c r="K58" i="1"/>
  <c r="I58" i="1"/>
  <c r="E58" i="1"/>
  <c r="A58" i="1"/>
  <c r="U57" i="1"/>
  <c r="T57" i="1"/>
  <c r="S57" i="1"/>
  <c r="R57" i="1"/>
  <c r="Q57" i="1"/>
  <c r="O57" i="1"/>
  <c r="N57" i="1"/>
  <c r="L57" i="1"/>
  <c r="K57" i="1"/>
  <c r="I57" i="1"/>
  <c r="E57" i="1"/>
  <c r="A57" i="1"/>
  <c r="U56" i="1"/>
  <c r="T56" i="1"/>
  <c r="S56" i="1"/>
  <c r="R56" i="1"/>
  <c r="Q56" i="1"/>
  <c r="O56" i="1"/>
  <c r="N56" i="1"/>
  <c r="L56" i="1"/>
  <c r="K56" i="1"/>
  <c r="I56" i="1"/>
  <c r="E56" i="1"/>
  <c r="A56" i="1"/>
  <c r="U55" i="1"/>
  <c r="T55" i="1"/>
  <c r="S55" i="1"/>
  <c r="R55" i="1"/>
  <c r="Q55" i="1"/>
  <c r="O55" i="1"/>
  <c r="N55" i="1"/>
  <c r="L55" i="1"/>
  <c r="K55" i="1"/>
  <c r="I55" i="1"/>
  <c r="E55" i="1"/>
  <c r="A55" i="1"/>
  <c r="U54" i="1"/>
  <c r="T54" i="1"/>
  <c r="S54" i="1"/>
  <c r="R54" i="1"/>
  <c r="Q54" i="1"/>
  <c r="O54" i="1"/>
  <c r="N54" i="1"/>
  <c r="L54" i="1"/>
  <c r="K54" i="1"/>
  <c r="I54" i="1"/>
  <c r="E54" i="1"/>
  <c r="A54" i="1"/>
  <c r="T53" i="1"/>
  <c r="Q53" i="1"/>
  <c r="R53" i="1" s="1"/>
  <c r="O53" i="1"/>
  <c r="N53" i="1"/>
  <c r="L53" i="1"/>
  <c r="K53" i="1"/>
  <c r="I53" i="1"/>
  <c r="E53" i="1"/>
  <c r="A53" i="1"/>
  <c r="T52" i="1"/>
  <c r="Q52" i="1"/>
  <c r="R52" i="1" s="1"/>
  <c r="O52" i="1"/>
  <c r="N52" i="1"/>
  <c r="K52" i="1"/>
  <c r="I52" i="1"/>
  <c r="L52" i="1" s="1"/>
  <c r="E52" i="1"/>
  <c r="A52" i="1"/>
  <c r="T51" i="1"/>
  <c r="Q51" i="1"/>
  <c r="R51" i="1" s="1"/>
  <c r="O51" i="1"/>
  <c r="N51" i="1"/>
  <c r="K51" i="1"/>
  <c r="I51" i="1"/>
  <c r="L51" i="1" s="1"/>
  <c r="E51" i="1"/>
  <c r="A51" i="1"/>
  <c r="T50" i="1"/>
  <c r="Q50" i="1"/>
  <c r="R50" i="1" s="1"/>
  <c r="O50" i="1"/>
  <c r="N50" i="1"/>
  <c r="L50" i="1"/>
  <c r="K50" i="1"/>
  <c r="I50" i="1"/>
  <c r="E50" i="1"/>
  <c r="A50" i="1"/>
  <c r="T49" i="1"/>
  <c r="U49" i="1" s="1"/>
  <c r="I49" i="3" s="1"/>
  <c r="Q49" i="1"/>
  <c r="R49" i="1" s="1"/>
  <c r="O49" i="1"/>
  <c r="N49" i="1"/>
  <c r="L49" i="1"/>
  <c r="K49" i="1"/>
  <c r="I49" i="1"/>
  <c r="E49" i="1"/>
  <c r="A49" i="1"/>
  <c r="T48" i="1"/>
  <c r="Q48" i="1"/>
  <c r="R48" i="1" s="1"/>
  <c r="O48" i="1"/>
  <c r="N48" i="1"/>
  <c r="K48" i="1"/>
  <c r="I48" i="1"/>
  <c r="L48" i="1" s="1"/>
  <c r="E48" i="1"/>
  <c r="A48" i="1"/>
  <c r="T47" i="1"/>
  <c r="Q47" i="1"/>
  <c r="R47" i="1" s="1"/>
  <c r="O47" i="1"/>
  <c r="N47" i="1"/>
  <c r="L47" i="1"/>
  <c r="K47" i="1"/>
  <c r="I47" i="1"/>
  <c r="E47" i="1"/>
  <c r="A47" i="1"/>
  <c r="T46" i="1"/>
  <c r="Q46" i="1"/>
  <c r="R46" i="1" s="1"/>
  <c r="O46" i="1"/>
  <c r="N46" i="1"/>
  <c r="K46" i="1"/>
  <c r="I46" i="1"/>
  <c r="L46" i="1" s="1"/>
  <c r="E46" i="1"/>
  <c r="A46" i="1"/>
  <c r="T45" i="1"/>
  <c r="Q45" i="1"/>
  <c r="R45" i="1" s="1"/>
  <c r="O45" i="1"/>
  <c r="N45" i="1"/>
  <c r="K45" i="1"/>
  <c r="L45" i="1" s="1"/>
  <c r="I45" i="1"/>
  <c r="E45" i="1"/>
  <c r="A45" i="1"/>
  <c r="T44" i="1"/>
  <c r="S44" i="1" s="1"/>
  <c r="Q44" i="1"/>
  <c r="R44" i="1" s="1"/>
  <c r="O44" i="1"/>
  <c r="N44" i="1"/>
  <c r="K44" i="1"/>
  <c r="L44" i="1" s="1"/>
  <c r="I44" i="1"/>
  <c r="E44" i="1"/>
  <c r="A44" i="1"/>
  <c r="T43" i="1"/>
  <c r="Q43" i="1"/>
  <c r="R43" i="1" s="1"/>
  <c r="O43" i="1"/>
  <c r="N43" i="1"/>
  <c r="K43" i="1"/>
  <c r="L43" i="1" s="1"/>
  <c r="I43" i="1"/>
  <c r="E43" i="1"/>
  <c r="A43" i="1"/>
  <c r="T42" i="1"/>
  <c r="Q42" i="1"/>
  <c r="R42" i="1" s="1"/>
  <c r="O42" i="1"/>
  <c r="N42" i="1"/>
  <c r="K42" i="1"/>
  <c r="I42" i="1"/>
  <c r="L42" i="1" s="1"/>
  <c r="E42" i="1"/>
  <c r="A42" i="1"/>
  <c r="T41" i="1"/>
  <c r="Q41" i="1"/>
  <c r="R41" i="1" s="1"/>
  <c r="O41" i="1"/>
  <c r="N41" i="1"/>
  <c r="K41" i="1"/>
  <c r="L41" i="1" s="1"/>
  <c r="I41" i="1"/>
  <c r="E41" i="1"/>
  <c r="A41" i="1"/>
  <c r="T40" i="1"/>
  <c r="Q40" i="1"/>
  <c r="R40" i="1" s="1"/>
  <c r="O40" i="1"/>
  <c r="N40" i="1"/>
  <c r="K40" i="1"/>
  <c r="I40" i="1"/>
  <c r="L40" i="1" s="1"/>
  <c r="E40" i="1"/>
  <c r="A40" i="1"/>
  <c r="T39" i="1"/>
  <c r="Q39" i="1"/>
  <c r="R39" i="1" s="1"/>
  <c r="O39" i="1"/>
  <c r="N39" i="1"/>
  <c r="K39" i="1"/>
  <c r="I39" i="1"/>
  <c r="L39" i="1" s="1"/>
  <c r="E39" i="1"/>
  <c r="A39" i="1"/>
  <c r="T38" i="1"/>
  <c r="Q38" i="1"/>
  <c r="R38" i="1" s="1"/>
  <c r="O38" i="1"/>
  <c r="N38" i="1"/>
  <c r="K38" i="1"/>
  <c r="L38" i="1" s="1"/>
  <c r="I38" i="1"/>
  <c r="E38" i="1"/>
  <c r="A38" i="1"/>
  <c r="T37" i="1"/>
  <c r="Q37" i="1"/>
  <c r="R37" i="1" s="1"/>
  <c r="O37" i="1"/>
  <c r="N37" i="1"/>
  <c r="K37" i="1"/>
  <c r="I37" i="1"/>
  <c r="L37" i="1" s="1"/>
  <c r="E37" i="1"/>
  <c r="A37" i="1"/>
  <c r="T36" i="1"/>
  <c r="Q36" i="1"/>
  <c r="R36" i="1" s="1"/>
  <c r="O36" i="1"/>
  <c r="N36" i="1"/>
  <c r="K36" i="1"/>
  <c r="L36" i="1" s="1"/>
  <c r="I36" i="1"/>
  <c r="E36" i="1"/>
  <c r="A36" i="1"/>
  <c r="T35" i="1"/>
  <c r="Q35" i="1"/>
  <c r="R35" i="1" s="1"/>
  <c r="O35" i="1"/>
  <c r="N35" i="1"/>
  <c r="K35" i="1"/>
  <c r="L35" i="1" s="1"/>
  <c r="I35" i="1"/>
  <c r="E35" i="1"/>
  <c r="A35" i="1"/>
  <c r="T34" i="1"/>
  <c r="Q34" i="1"/>
  <c r="R34" i="1" s="1"/>
  <c r="O34" i="1"/>
  <c r="N34" i="1"/>
  <c r="K34" i="1"/>
  <c r="L34" i="1" s="1"/>
  <c r="I34" i="1"/>
  <c r="E34" i="1"/>
  <c r="A34" i="1"/>
  <c r="T33" i="1"/>
  <c r="Q33" i="1"/>
  <c r="R33" i="1" s="1"/>
  <c r="O33" i="1"/>
  <c r="N33" i="1"/>
  <c r="K33" i="1"/>
  <c r="I33" i="1"/>
  <c r="L33" i="1" s="1"/>
  <c r="E33" i="1"/>
  <c r="A33" i="1"/>
  <c r="T32" i="1"/>
  <c r="Q32" i="1"/>
  <c r="R32" i="1" s="1"/>
  <c r="O32" i="1"/>
  <c r="N32" i="1"/>
  <c r="K32" i="1"/>
  <c r="L32" i="1" s="1"/>
  <c r="I32" i="1"/>
  <c r="E32" i="1"/>
  <c r="A32" i="1"/>
  <c r="T31" i="1"/>
  <c r="Q31" i="1"/>
  <c r="R31" i="1" s="1"/>
  <c r="O31" i="1"/>
  <c r="N31" i="1"/>
  <c r="K31" i="1"/>
  <c r="L31" i="1" s="1"/>
  <c r="I31" i="1"/>
  <c r="E31" i="1"/>
  <c r="A31" i="1"/>
  <c r="T30" i="1"/>
  <c r="Q30" i="1"/>
  <c r="R30" i="1" s="1"/>
  <c r="O30" i="1"/>
  <c r="N30" i="1"/>
  <c r="K30" i="1"/>
  <c r="L30" i="1" s="1"/>
  <c r="I30" i="1"/>
  <c r="E30" i="1"/>
  <c r="A30" i="1"/>
  <c r="T29" i="1"/>
  <c r="Q29" i="1"/>
  <c r="R29" i="1" s="1"/>
  <c r="O29" i="1"/>
  <c r="N29" i="1"/>
  <c r="K29" i="1"/>
  <c r="I29" i="1"/>
  <c r="E29" i="1"/>
  <c r="A29" i="1"/>
  <c r="T28" i="1"/>
  <c r="Q28" i="1"/>
  <c r="R28" i="1" s="1"/>
  <c r="O28" i="1"/>
  <c r="N28" i="1"/>
  <c r="K28" i="1"/>
  <c r="L28" i="1" s="1"/>
  <c r="I28" i="1"/>
  <c r="E28" i="1"/>
  <c r="A28" i="1"/>
  <c r="T27" i="1"/>
  <c r="Q27" i="1"/>
  <c r="R27" i="1" s="1"/>
  <c r="O27" i="1"/>
  <c r="N27" i="1"/>
  <c r="K27" i="1"/>
  <c r="I27" i="1"/>
  <c r="L27" i="1" s="1"/>
  <c r="E27" i="1"/>
  <c r="A27" i="1"/>
  <c r="T26" i="1"/>
  <c r="Q26" i="1"/>
  <c r="R26" i="1" s="1"/>
  <c r="O26" i="1"/>
  <c r="N26" i="1"/>
  <c r="K26" i="1"/>
  <c r="I26" i="1"/>
  <c r="E26" i="1"/>
  <c r="A26" i="1"/>
  <c r="T25" i="1"/>
  <c r="Q25" i="1"/>
  <c r="R25" i="1" s="1"/>
  <c r="O25" i="1"/>
  <c r="N25" i="1"/>
  <c r="K25" i="1"/>
  <c r="I25" i="1"/>
  <c r="L25" i="1" s="1"/>
  <c r="E25" i="1"/>
  <c r="A25" i="1"/>
  <c r="T24" i="1"/>
  <c r="Q24" i="1"/>
  <c r="R24" i="1" s="1"/>
  <c r="O24" i="1"/>
  <c r="N24" i="1"/>
  <c r="L24" i="1"/>
  <c r="K24" i="1"/>
  <c r="I24" i="1"/>
  <c r="E24" i="1"/>
  <c r="A24" i="1"/>
  <c r="T23" i="1"/>
  <c r="D23" i="3" s="1"/>
  <c r="J23" i="3" s="1"/>
  <c r="Q23" i="1"/>
  <c r="R23" i="1" s="1"/>
  <c r="O23" i="1"/>
  <c r="N23" i="1"/>
  <c r="L23" i="1"/>
  <c r="K23" i="1"/>
  <c r="I23" i="1"/>
  <c r="E23" i="1"/>
  <c r="A23" i="1"/>
  <c r="T22" i="1"/>
  <c r="Q22" i="1"/>
  <c r="R22" i="1" s="1"/>
  <c r="O22" i="1"/>
  <c r="N22" i="1"/>
  <c r="K22" i="1"/>
  <c r="I22" i="1"/>
  <c r="L22" i="1" s="1"/>
  <c r="E22" i="1"/>
  <c r="A22" i="1"/>
  <c r="T21" i="1"/>
  <c r="Q21" i="1"/>
  <c r="R21" i="1" s="1"/>
  <c r="O21" i="1"/>
  <c r="N21" i="1"/>
  <c r="L21" i="1"/>
  <c r="K21" i="1"/>
  <c r="I21" i="1"/>
  <c r="E21" i="1"/>
  <c r="A21" i="1"/>
  <c r="T20" i="1"/>
  <c r="Q20" i="1"/>
  <c r="R20" i="1" s="1"/>
  <c r="O20" i="1"/>
  <c r="N20" i="1"/>
  <c r="L20" i="1"/>
  <c r="K20" i="1"/>
  <c r="I20" i="1"/>
  <c r="E20" i="1"/>
  <c r="A20" i="1"/>
  <c r="T19" i="1"/>
  <c r="Q19" i="1"/>
  <c r="R19" i="1" s="1"/>
  <c r="O19" i="1"/>
  <c r="N19" i="1"/>
  <c r="K19" i="1"/>
  <c r="I19" i="1"/>
  <c r="L19" i="1" s="1"/>
  <c r="E19" i="1"/>
  <c r="A19" i="1"/>
  <c r="T18" i="1"/>
  <c r="Q18" i="1"/>
  <c r="R18" i="1" s="1"/>
  <c r="O18" i="1"/>
  <c r="N18" i="1"/>
  <c r="K18" i="1"/>
  <c r="L18" i="1" s="1"/>
  <c r="I18" i="1"/>
  <c r="E18" i="1"/>
  <c r="A18" i="1"/>
  <c r="T17" i="1"/>
  <c r="Q17" i="1"/>
  <c r="R17" i="1" s="1"/>
  <c r="O17" i="1"/>
  <c r="N17" i="1"/>
  <c r="K17" i="1"/>
  <c r="L17" i="1" s="1"/>
  <c r="I17" i="1"/>
  <c r="E17" i="1"/>
  <c r="A17" i="1"/>
  <c r="T16" i="1"/>
  <c r="Q16" i="1"/>
  <c r="R16" i="1" s="1"/>
  <c r="O16" i="1"/>
  <c r="N16" i="1"/>
  <c r="K16" i="1"/>
  <c r="L16" i="1" s="1"/>
  <c r="I16" i="1"/>
  <c r="E16" i="1"/>
  <c r="A16" i="1"/>
  <c r="T15" i="1"/>
  <c r="Q15" i="1"/>
  <c r="R15" i="1" s="1"/>
  <c r="O15" i="1"/>
  <c r="N15" i="1"/>
  <c r="K15" i="1"/>
  <c r="L15" i="1" s="1"/>
  <c r="I15" i="1"/>
  <c r="E15" i="1"/>
  <c r="A15" i="1"/>
  <c r="AF14" i="1"/>
  <c r="AC14" i="1"/>
  <c r="Z14" i="1"/>
  <c r="X14" i="1"/>
  <c r="AF13" i="1"/>
  <c r="AC13" i="1"/>
  <c r="Z13" i="1"/>
  <c r="X13" i="1"/>
  <c r="AF12" i="1"/>
  <c r="AC12" i="1"/>
  <c r="Z12" i="1"/>
  <c r="X12" i="1"/>
  <c r="U12" i="1"/>
  <c r="J53" i="3" l="1"/>
  <c r="U53" i="1"/>
  <c r="I53" i="3" s="1"/>
  <c r="S53" i="1"/>
  <c r="L26" i="1"/>
  <c r="L29" i="1"/>
  <c r="D52" i="3"/>
  <c r="J52" i="3" s="1"/>
  <c r="S52" i="1"/>
  <c r="U52" i="1"/>
  <c r="I52" i="3" s="1"/>
  <c r="D51" i="3"/>
  <c r="J51" i="3" s="1"/>
  <c r="S51" i="1"/>
  <c r="U51" i="1"/>
  <c r="I51" i="3" s="1"/>
  <c r="D50" i="3"/>
  <c r="J50" i="3" s="1"/>
  <c r="U50" i="1"/>
  <c r="I50" i="3" s="1"/>
  <c r="S50" i="1"/>
  <c r="E49" i="3"/>
  <c r="D49" i="3"/>
  <c r="J49" i="3" s="1"/>
  <c r="S49" i="1"/>
  <c r="C49" i="3" s="1"/>
  <c r="D25" i="3"/>
  <c r="J25" i="3" s="1"/>
  <c r="U25" i="1"/>
  <c r="I25" i="3" s="1"/>
  <c r="S25" i="1"/>
  <c r="D34" i="3"/>
  <c r="J34" i="3" s="1"/>
  <c r="U34" i="1"/>
  <c r="I34" i="3" s="1"/>
  <c r="S34" i="1"/>
  <c r="D42" i="3"/>
  <c r="J42" i="3" s="1"/>
  <c r="U42" i="1"/>
  <c r="I42" i="3" s="1"/>
  <c r="S42" i="1"/>
  <c r="D40" i="3"/>
  <c r="J40" i="3" s="1"/>
  <c r="U40" i="1"/>
  <c r="I40" i="3" s="1"/>
  <c r="S40" i="1"/>
  <c r="D41" i="3"/>
  <c r="J41" i="3" s="1"/>
  <c r="U41" i="1"/>
  <c r="I41" i="3" s="1"/>
  <c r="S41" i="1"/>
  <c r="D43" i="3"/>
  <c r="J43" i="3" s="1"/>
  <c r="U43" i="1"/>
  <c r="I43" i="3" s="1"/>
  <c r="S43" i="1"/>
  <c r="D44" i="3"/>
  <c r="J44" i="3" s="1"/>
  <c r="U44" i="1"/>
  <c r="I44" i="3" s="1"/>
  <c r="D45" i="3"/>
  <c r="J45" i="3" s="1"/>
  <c r="U45" i="1"/>
  <c r="I45" i="3" s="1"/>
  <c r="S45" i="1"/>
  <c r="D46" i="3"/>
  <c r="J46" i="3" s="1"/>
  <c r="S46" i="1"/>
  <c r="U46" i="1"/>
  <c r="I46" i="3" s="1"/>
  <c r="D47" i="3"/>
  <c r="J47" i="3" s="1"/>
  <c r="S47" i="1"/>
  <c r="U47" i="1"/>
  <c r="I47" i="3" s="1"/>
  <c r="D48" i="3"/>
  <c r="J48" i="3" s="1"/>
  <c r="U48" i="1"/>
  <c r="I48" i="3" s="1"/>
  <c r="S48" i="1"/>
  <c r="D39" i="3"/>
  <c r="J39" i="3" s="1"/>
  <c r="U39" i="1"/>
  <c r="I39" i="3" s="1"/>
  <c r="S39" i="1"/>
  <c r="S38" i="1"/>
  <c r="D38" i="3"/>
  <c r="J38" i="3" s="1"/>
  <c r="U38" i="1"/>
  <c r="I38" i="3" s="1"/>
  <c r="D37" i="3"/>
  <c r="J37" i="3" s="1"/>
  <c r="U37" i="1"/>
  <c r="I37" i="3" s="1"/>
  <c r="S37" i="1"/>
  <c r="D36" i="3"/>
  <c r="J36" i="3" s="1"/>
  <c r="U36" i="1"/>
  <c r="I36" i="3" s="1"/>
  <c r="S36" i="1"/>
  <c r="D35" i="3"/>
  <c r="J35" i="3" s="1"/>
  <c r="U35" i="1"/>
  <c r="I35" i="3" s="1"/>
  <c r="S35" i="1"/>
  <c r="U33" i="1"/>
  <c r="I33" i="3" s="1"/>
  <c r="S33" i="1"/>
  <c r="D33" i="3"/>
  <c r="J33" i="3" s="1"/>
  <c r="D32" i="3"/>
  <c r="J32" i="3" s="1"/>
  <c r="U32" i="1"/>
  <c r="I32" i="3" s="1"/>
  <c r="S32" i="1"/>
  <c r="D31" i="3"/>
  <c r="J31" i="3" s="1"/>
  <c r="U31" i="1"/>
  <c r="I31" i="3" s="1"/>
  <c r="S31" i="1"/>
  <c r="D30" i="3"/>
  <c r="J30" i="3" s="1"/>
  <c r="U30" i="1"/>
  <c r="I30" i="3" s="1"/>
  <c r="S30" i="1"/>
  <c r="U29" i="1"/>
  <c r="I29" i="3" s="1"/>
  <c r="D29" i="3"/>
  <c r="J29" i="3" s="1"/>
  <c r="S29" i="1"/>
  <c r="D28" i="3"/>
  <c r="J28" i="3" s="1"/>
  <c r="U28" i="1"/>
  <c r="I28" i="3" s="1"/>
  <c r="S28" i="1"/>
  <c r="S27" i="1"/>
  <c r="U27" i="1"/>
  <c r="I27" i="3" s="1"/>
  <c r="D27" i="3"/>
  <c r="J27" i="3" s="1"/>
  <c r="U26" i="1"/>
  <c r="I26" i="3" s="1"/>
  <c r="D26" i="3"/>
  <c r="J26" i="3" s="1"/>
  <c r="S26" i="1"/>
  <c r="U24" i="1"/>
  <c r="I24" i="3" s="1"/>
  <c r="D24" i="3"/>
  <c r="J24" i="3" s="1"/>
  <c r="S24" i="1"/>
  <c r="U23" i="1"/>
  <c r="I23" i="3" s="1"/>
  <c r="S23" i="1"/>
  <c r="D22" i="3"/>
  <c r="J22" i="3" s="1"/>
  <c r="S22" i="1"/>
  <c r="U22" i="1"/>
  <c r="I22" i="3" s="1"/>
  <c r="S21" i="1"/>
  <c r="D21" i="3"/>
  <c r="J21" i="3" s="1"/>
  <c r="U21" i="1"/>
  <c r="I21" i="3" s="1"/>
  <c r="U20" i="1"/>
  <c r="I20" i="3" s="1"/>
  <c r="S20" i="1"/>
  <c r="D20" i="3"/>
  <c r="J20" i="3" s="1"/>
  <c r="D19" i="3"/>
  <c r="S19" i="1"/>
  <c r="J19" i="3"/>
  <c r="U19" i="1"/>
  <c r="I19" i="3" s="1"/>
  <c r="S18" i="1"/>
  <c r="D18" i="3"/>
  <c r="J18" i="3" s="1"/>
  <c r="U18" i="1"/>
  <c r="I18" i="3" s="1"/>
  <c r="D17" i="3"/>
  <c r="J17" i="3" s="1"/>
  <c r="S17" i="1"/>
  <c r="U17" i="1"/>
  <c r="I17" i="3" s="1"/>
  <c r="D16" i="3"/>
  <c r="J16" i="3" s="1"/>
  <c r="S16" i="1"/>
  <c r="U16" i="1"/>
  <c r="I16" i="3" s="1"/>
  <c r="T15" i="18"/>
  <c r="A15" i="18"/>
  <c r="F15" i="3"/>
  <c r="U15" i="18"/>
  <c r="S15" i="18"/>
  <c r="D15" i="3"/>
  <c r="J15" i="3" s="1"/>
  <c r="U15" i="1"/>
  <c r="S15" i="1"/>
  <c r="C53" i="3" l="1"/>
  <c r="E53" i="3"/>
  <c r="C52" i="3"/>
  <c r="E52" i="3"/>
  <c r="C51" i="3"/>
  <c r="E51" i="3"/>
  <c r="C50" i="3"/>
  <c r="E50" i="3"/>
  <c r="E25" i="3"/>
  <c r="C25" i="3"/>
  <c r="C34" i="3"/>
  <c r="E34" i="3"/>
  <c r="C42" i="3"/>
  <c r="E42" i="3"/>
  <c r="E40" i="3"/>
  <c r="C40" i="3"/>
  <c r="C41" i="3"/>
  <c r="E41" i="3"/>
  <c r="C43" i="3"/>
  <c r="E43" i="3"/>
  <c r="C44" i="3"/>
  <c r="E44" i="3"/>
  <c r="E45" i="3"/>
  <c r="C45" i="3"/>
  <c r="C46" i="3"/>
  <c r="E46" i="3"/>
  <c r="C47" i="3"/>
  <c r="E47" i="3"/>
  <c r="C48" i="3"/>
  <c r="E48" i="3"/>
  <c r="C39" i="3"/>
  <c r="E39" i="3"/>
  <c r="C38" i="3"/>
  <c r="E38" i="3"/>
  <c r="C37" i="3"/>
  <c r="E37" i="3"/>
  <c r="E36" i="3"/>
  <c r="C36" i="3"/>
  <c r="C35" i="3"/>
  <c r="E35" i="3"/>
  <c r="E33" i="3"/>
  <c r="C33" i="3"/>
  <c r="C32" i="3"/>
  <c r="E32" i="3"/>
  <c r="E31" i="3"/>
  <c r="C31" i="3"/>
  <c r="C30" i="3"/>
  <c r="E30" i="3"/>
  <c r="E29" i="3"/>
  <c r="C29" i="3"/>
  <c r="C28" i="3"/>
  <c r="E28" i="3"/>
  <c r="C27" i="3"/>
  <c r="E27" i="3"/>
  <c r="C26" i="3"/>
  <c r="E26" i="3"/>
  <c r="C24" i="3"/>
  <c r="E24" i="3"/>
  <c r="C23" i="3"/>
  <c r="E23" i="3"/>
  <c r="C22" i="3"/>
  <c r="E22" i="3"/>
  <c r="E21" i="3"/>
  <c r="C21" i="3"/>
  <c r="E20" i="3"/>
  <c r="C20" i="3"/>
  <c r="C19" i="3"/>
  <c r="E19" i="3"/>
  <c r="C18" i="3"/>
  <c r="E18" i="3"/>
  <c r="C17" i="3"/>
  <c r="E17" i="3"/>
  <c r="C16" i="3"/>
  <c r="E16" i="3"/>
  <c r="H15" i="3"/>
  <c r="G15" i="3" s="1"/>
  <c r="Q8" i="18"/>
  <c r="Q7" i="18"/>
  <c r="Q6" i="18"/>
  <c r="Q9" i="18"/>
  <c r="Q6" i="1"/>
  <c r="Q7" i="1"/>
  <c r="Q9" i="1"/>
  <c r="Q8" i="1"/>
  <c r="Q10" i="18" l="1"/>
  <c r="I64" i="3"/>
  <c r="I65" i="3"/>
  <c r="I66" i="3"/>
  <c r="I72" i="3"/>
  <c r="I67" i="3"/>
  <c r="I69" i="3"/>
  <c r="I71" i="3"/>
  <c r="I68" i="3"/>
  <c r="I70" i="3"/>
  <c r="I15" i="3"/>
  <c r="Q10" i="1"/>
  <c r="R7" i="18" l="1"/>
  <c r="R6" i="18"/>
  <c r="R9" i="18"/>
  <c r="R8" i="18"/>
  <c r="E15" i="3"/>
  <c r="I62" i="3"/>
  <c r="I63" i="3"/>
  <c r="I61" i="3"/>
  <c r="C15" i="3"/>
  <c r="M26" i="3" s="1"/>
  <c r="N26" i="3" s="1"/>
  <c r="R6" i="1"/>
  <c r="R8" i="1"/>
  <c r="R9" i="1"/>
  <c r="R7" i="1"/>
</calcChain>
</file>

<file path=xl/sharedStrings.xml><?xml version="1.0" encoding="utf-8"?>
<sst xmlns="http://schemas.openxmlformats.org/spreadsheetml/2006/main" count="161" uniqueCount="71">
  <si>
    <t>Components and Weight:</t>
  </si>
  <si>
    <t>Class Standing</t>
  </si>
  <si>
    <t>Major Exam</t>
  </si>
  <si>
    <t>Attendance</t>
  </si>
  <si>
    <t>School Year :</t>
  </si>
  <si>
    <t>2025-2026</t>
  </si>
  <si>
    <t>Semester :</t>
  </si>
  <si>
    <t>Section :</t>
  </si>
  <si>
    <t>Course :</t>
  </si>
  <si>
    <t>IT 103 ADVANCED DATABASE MANAGEMENT SYSTEM</t>
  </si>
  <si>
    <t>Grading Period :</t>
  </si>
  <si>
    <t>Midterm</t>
  </si>
  <si>
    <t>Professor :</t>
  </si>
  <si>
    <t>FAJARDO, REBECCA R.</t>
  </si>
  <si>
    <t>Legend :</t>
  </si>
  <si>
    <t>GrA</t>
  </si>
  <si>
    <t>Grade of Actual Score</t>
  </si>
  <si>
    <t>Summary of Grades    %</t>
  </si>
  <si>
    <t>CP</t>
  </si>
  <si>
    <t>Class Participation</t>
  </si>
  <si>
    <t>DRP</t>
  </si>
  <si>
    <t>CW</t>
  </si>
  <si>
    <t>Class Work, Lab, Seatwork</t>
  </si>
  <si>
    <t>INC</t>
  </si>
  <si>
    <t>Passing Score</t>
  </si>
  <si>
    <t>of total items</t>
  </si>
  <si>
    <t>Pass</t>
  </si>
  <si>
    <t>Passing Grade</t>
  </si>
  <si>
    <t>Lowest Grade</t>
  </si>
  <si>
    <t>Highest Grade</t>
  </si>
  <si>
    <t>Fail</t>
  </si>
  <si>
    <t>Number of Meetings</t>
  </si>
  <si>
    <t>TOTAL</t>
  </si>
  <si>
    <t>Quiz 1</t>
  </si>
  <si>
    <t>Quiz 2</t>
  </si>
  <si>
    <t>Long Quiz</t>
  </si>
  <si>
    <t>No</t>
  </si>
  <si>
    <t>Student Name</t>
  </si>
  <si>
    <t>Put 'Drp' for dropped</t>
  </si>
  <si>
    <t>Q1 =</t>
  </si>
  <si>
    <t>Q2 =</t>
  </si>
  <si>
    <t>lab</t>
  </si>
  <si>
    <t>Exam</t>
  </si>
  <si>
    <t>Total =</t>
  </si>
  <si>
    <t>Passing</t>
  </si>
  <si>
    <t>Abs</t>
  </si>
  <si>
    <t>Extra in (%)</t>
  </si>
  <si>
    <t>CW in (%)</t>
  </si>
  <si>
    <t>Raw Score</t>
  </si>
  <si>
    <t>Quiz</t>
  </si>
  <si>
    <t>Project in (%)</t>
  </si>
  <si>
    <t>EQ</t>
  </si>
  <si>
    <t>Grade</t>
  </si>
  <si>
    <t>PScale</t>
  </si>
  <si>
    <t>(Lastname, Firstname)</t>
  </si>
  <si>
    <t>FSCale</t>
  </si>
  <si>
    <t>Final</t>
  </si>
  <si>
    <t>Project</t>
  </si>
  <si>
    <t>Name</t>
  </si>
  <si>
    <t>Midterms</t>
  </si>
  <si>
    <t>Finals</t>
  </si>
  <si>
    <t>Subject</t>
  </si>
  <si>
    <t>Remarks</t>
  </si>
  <si>
    <t>Eq.</t>
  </si>
  <si>
    <t>Prepared by Instructor:</t>
  </si>
  <si>
    <t>Passed</t>
  </si>
  <si>
    <t>Reviewed by Program Head:</t>
  </si>
  <si>
    <t>Failed</t>
  </si>
  <si>
    <t>Dropped</t>
  </si>
  <si>
    <t>Approved by Dean/Academic Head:</t>
  </si>
  <si>
    <t>Received by Registrar: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</si>
</sst>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_(* #,##0.00_);_(* \(#,##0.00\);_(* &quot;-&quot;??_);_(@_)"/>
    <numFmt numFmtId="168" formatCode="0.0"/>
    <numFmt numFmtId="169" formatCode="[$-F800]dddd\,\ mmmm\ dd\,\ yyyy"/>
    <numFmt numFmtId="170" formatCode="_(* #,##0_);_(* \(#,##0\);_(* &quot;-&quot;??_);_(@_)"/>
  </numFmts>
  <fonts count="27">
    <font>
      <sz val="11"/>
      <color theme="1"/>
      <name val="Calibri"/>
      <charset val="134"/>
      <scheme val="minor"/>
    </font>
    <font>
      <sz val="9"/>
      <color theme="1"/>
      <name val="Calibri"/>
      <charset val="134"/>
      <scheme val="minor"/>
    </font>
    <font>
      <b/>
      <sz val="9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8"/>
      <color theme="0"/>
      <name val="Calibri"/>
      <charset val="134"/>
      <scheme val="minor"/>
    </font>
    <font>
      <sz val="9"/>
      <color indexed="9"/>
      <name val="Calibri"/>
      <charset val="134"/>
      <scheme val="minor"/>
    </font>
    <font>
      <sz val="9"/>
      <color theme="0"/>
      <name val="Calibri"/>
      <charset val="134"/>
      <scheme val="minor"/>
    </font>
    <font>
      <sz val="9"/>
      <color rgb="FFFF0000"/>
      <name val="Calibri"/>
      <charset val="134"/>
      <scheme val="minor"/>
    </font>
    <font>
      <b/>
      <sz val="9"/>
      <name val="Calibri"/>
      <charset val="134"/>
      <scheme val="minor"/>
    </font>
    <font>
      <sz val="9"/>
      <name val="Calibri"/>
      <charset val="134"/>
      <scheme val="minor"/>
    </font>
    <font>
      <sz val="9"/>
      <color indexed="8"/>
      <name val="Calibri"/>
      <charset val="134"/>
      <scheme val="minor"/>
    </font>
    <font>
      <b/>
      <u/>
      <sz val="10"/>
      <color theme="1"/>
      <name val="Calibri"/>
      <charset val="134"/>
      <scheme val="minor"/>
    </font>
    <font>
      <b/>
      <sz val="9"/>
      <color indexed="8"/>
      <name val="Calibri"/>
      <charset val="134"/>
      <scheme val="minor"/>
    </font>
    <font>
      <b/>
      <sz val="9"/>
      <color theme="0"/>
      <name val="Calibri"/>
      <charset val="134"/>
      <scheme val="minor"/>
    </font>
    <font>
      <b/>
      <sz val="9"/>
      <color indexed="9"/>
      <name val="Calibri"/>
      <charset val="134"/>
      <scheme val="minor"/>
    </font>
    <font>
      <sz val="8"/>
      <name val="Calibri"/>
      <charset val="134"/>
      <scheme val="minor"/>
    </font>
    <font>
      <b/>
      <sz val="10"/>
      <name val="Calibri"/>
      <charset val="134"/>
      <scheme val="minor"/>
    </font>
    <font>
      <sz val="8"/>
      <color indexed="8"/>
      <name val="Calibri"/>
      <charset val="134"/>
      <scheme val="minor"/>
    </font>
    <font>
      <b/>
      <sz val="7"/>
      <name val="Calibri"/>
      <charset val="134"/>
      <scheme val="minor"/>
    </font>
    <font>
      <sz val="7"/>
      <name val="Calibri"/>
      <charset val="134"/>
      <scheme val="minor"/>
    </font>
    <font>
      <b/>
      <sz val="10"/>
      <color indexed="8"/>
      <name val="Calibri"/>
      <charset val="134"/>
      <scheme val="minor"/>
    </font>
    <font>
      <b/>
      <sz val="8"/>
      <name val="Calibri"/>
      <charset val="134"/>
      <scheme val="minor"/>
    </font>
    <font>
      <sz val="8"/>
      <color rgb="FFFF0000"/>
      <name val="Calibri"/>
      <charset val="134"/>
      <scheme val="minor"/>
    </font>
    <font>
      <sz val="8"/>
      <color rgb="FF0000FF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5" tint="0.39985351115451523"/>
        <bgColor indexed="64"/>
      </patternFill>
    </fill>
    <fill>
      <patternFill patternType="solid">
        <fgColor theme="3" tint="0.79985961485641044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</borders>
  <cellStyleXfs count="3">
    <xf numFmtId="0" fontId="0" fillId="0" borderId="0"/>
    <xf numFmtId="165" fontId="26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5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3" fillId="0" borderId="0" xfId="0" applyFont="1"/>
    <xf numFmtId="0" fontId="4" fillId="0" borderId="0" xfId="0" applyFont="1"/>
    <xf numFmtId="0" fontId="1" fillId="3" borderId="1" xfId="0" applyFont="1" applyFill="1" applyBorder="1"/>
    <xf numFmtId="0" fontId="1" fillId="3" borderId="2" xfId="0" applyFont="1" applyFill="1" applyBorder="1"/>
    <xf numFmtId="0" fontId="5" fillId="3" borderId="3" xfId="0" applyFont="1" applyFill="1" applyBorder="1"/>
    <xf numFmtId="0" fontId="6" fillId="2" borderId="0" xfId="0" applyFont="1" applyFill="1"/>
    <xf numFmtId="0" fontId="7" fillId="2" borderId="0" xfId="0" applyFont="1" applyFill="1"/>
    <xf numFmtId="0" fontId="7" fillId="3" borderId="0" xfId="0" applyFont="1" applyFill="1"/>
    <xf numFmtId="0" fontId="7" fillId="3" borderId="0" xfId="0" applyFont="1" applyFill="1" applyProtection="1">
      <protection locked="0"/>
    </xf>
    <xf numFmtId="0" fontId="6" fillId="3" borderId="0" xfId="0" applyFont="1" applyFill="1" applyProtection="1">
      <protection locked="0"/>
    </xf>
    <xf numFmtId="0" fontId="1" fillId="3" borderId="4" xfId="0" applyFont="1" applyFill="1" applyBorder="1"/>
    <xf numFmtId="0" fontId="8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0" borderId="0" xfId="0" applyFont="1"/>
    <xf numFmtId="0" fontId="9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1" fillId="3" borderId="0" xfId="0" applyFont="1" applyFill="1"/>
    <xf numFmtId="0" fontId="10" fillId="3" borderId="5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16" fontId="8" fillId="3" borderId="0" xfId="0" applyNumberFormat="1" applyFont="1" applyFill="1" applyAlignment="1">
      <alignment horizontal="left"/>
    </xf>
    <xf numFmtId="0" fontId="9" fillId="3" borderId="0" xfId="0" applyFont="1" applyFill="1"/>
    <xf numFmtId="16" fontId="10" fillId="3" borderId="5" xfId="0" applyNumberFormat="1" applyFont="1" applyFill="1" applyBorder="1" applyAlignment="1">
      <alignment horizontal="left"/>
    </xf>
    <xf numFmtId="16" fontId="6" fillId="3" borderId="0" xfId="0" applyNumberFormat="1" applyFont="1" applyFill="1" applyAlignment="1">
      <alignment horizontal="left"/>
    </xf>
    <xf numFmtId="16" fontId="7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right"/>
    </xf>
    <xf numFmtId="0" fontId="11" fillId="3" borderId="0" xfId="0" applyFont="1" applyFill="1"/>
    <xf numFmtId="0" fontId="1" fillId="3" borderId="6" xfId="0" applyFont="1" applyFill="1" applyBorder="1"/>
    <xf numFmtId="0" fontId="1" fillId="3" borderId="7" xfId="0" applyFont="1" applyFill="1" applyBorder="1"/>
    <xf numFmtId="0" fontId="8" fillId="3" borderId="7" xfId="0" applyFont="1" applyFill="1" applyBorder="1"/>
    <xf numFmtId="0" fontId="1" fillId="3" borderId="0" xfId="0" applyFont="1" applyFill="1" applyAlignment="1">
      <alignment horizontal="center"/>
    </xf>
    <xf numFmtId="0" fontId="1" fillId="3" borderId="5" xfId="0" applyFont="1" applyFill="1" applyBorder="1"/>
    <xf numFmtId="0" fontId="6" fillId="3" borderId="0" xfId="0" applyFont="1" applyFill="1"/>
    <xf numFmtId="0" fontId="1" fillId="4" borderId="8" xfId="0" applyFont="1" applyFill="1" applyBorder="1"/>
    <xf numFmtId="0" fontId="1" fillId="4" borderId="0" xfId="0" applyFont="1" applyFill="1"/>
    <xf numFmtId="0" fontId="1" fillId="4" borderId="9" xfId="0" applyFont="1" applyFill="1" applyBorder="1"/>
    <xf numFmtId="0" fontId="2" fillId="5" borderId="10" xfId="0" applyFont="1" applyFill="1" applyBorder="1"/>
    <xf numFmtId="0" fontId="8" fillId="5" borderId="11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2" borderId="0" xfId="0" applyFont="1" applyFill="1"/>
    <xf numFmtId="0" fontId="2" fillId="5" borderId="8" xfId="0" applyFont="1" applyFill="1" applyBorder="1"/>
    <xf numFmtId="0" fontId="14" fillId="5" borderId="11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15" fillId="0" borderId="11" xfId="0" applyFont="1" applyBorder="1"/>
    <xf numFmtId="0" fontId="15" fillId="3" borderId="11" xfId="0" applyFont="1" applyFill="1" applyBorder="1"/>
    <xf numFmtId="2" fontId="15" fillId="6" borderId="11" xfId="0" applyNumberFormat="1" applyFont="1" applyFill="1" applyBorder="1" applyAlignment="1">
      <alignment horizontal="center"/>
    </xf>
    <xf numFmtId="168" fontId="15" fillId="3" borderId="11" xfId="0" applyNumberFormat="1" applyFont="1" applyFill="1" applyBorder="1" applyAlignment="1">
      <alignment horizontal="center"/>
    </xf>
    <xf numFmtId="2" fontId="15" fillId="3" borderId="11" xfId="0" applyNumberFormat="1" applyFont="1" applyFill="1" applyBorder="1" applyAlignment="1">
      <alignment horizontal="center"/>
    </xf>
    <xf numFmtId="168" fontId="16" fillId="0" borderId="12" xfId="0" applyNumberFormat="1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8" borderId="0" xfId="0" applyFont="1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right"/>
    </xf>
    <xf numFmtId="0" fontId="15" fillId="3" borderId="2" xfId="0" applyFont="1" applyFill="1" applyBorder="1"/>
    <xf numFmtId="0" fontId="18" fillId="2" borderId="2" xfId="0" applyFont="1" applyFill="1" applyBorder="1" applyAlignment="1">
      <alignment horizontal="right"/>
    </xf>
    <xf numFmtId="0" fontId="18" fillId="2" borderId="2" xfId="0" applyFont="1" applyFill="1" applyBorder="1" applyAlignment="1">
      <alignment horizontal="center"/>
    </xf>
    <xf numFmtId="169" fontId="15" fillId="3" borderId="0" xfId="0" applyNumberFormat="1" applyFont="1" applyFill="1" applyAlignment="1">
      <alignment horizontal="right"/>
    </xf>
    <xf numFmtId="0" fontId="19" fillId="3" borderId="13" xfId="0" applyFont="1" applyFill="1" applyBorder="1" applyAlignment="1">
      <alignment horizontal="right"/>
    </xf>
    <xf numFmtId="0" fontId="19" fillId="3" borderId="14" xfId="0" applyFont="1" applyFill="1" applyBorder="1" applyAlignment="1">
      <alignment horizontal="center"/>
    </xf>
    <xf numFmtId="0" fontId="19" fillId="3" borderId="15" xfId="0" applyFont="1" applyFill="1" applyBorder="1" applyAlignment="1">
      <alignment horizontal="right"/>
    </xf>
    <xf numFmtId="0" fontId="19" fillId="3" borderId="16" xfId="0" applyFont="1" applyFill="1" applyBorder="1" applyAlignment="1">
      <alignment horizontal="center"/>
    </xf>
    <xf numFmtId="0" fontId="19" fillId="3" borderId="17" xfId="0" applyFont="1" applyFill="1" applyBorder="1" applyAlignment="1">
      <alignment horizontal="right"/>
    </xf>
    <xf numFmtId="0" fontId="19" fillId="3" borderId="18" xfId="0" applyFont="1" applyFill="1" applyBorder="1" applyAlignment="1">
      <alignment horizontal="center"/>
    </xf>
    <xf numFmtId="0" fontId="15" fillId="3" borderId="0" xfId="0" applyFont="1" applyFill="1" applyAlignment="1">
      <alignment horizontal="left"/>
    </xf>
    <xf numFmtId="2" fontId="19" fillId="3" borderId="8" xfId="0" applyNumberFormat="1" applyFont="1" applyFill="1" applyBorder="1" applyAlignment="1">
      <alignment horizontal="right"/>
    </xf>
    <xf numFmtId="0" fontId="19" fillId="3" borderId="8" xfId="0" applyFont="1" applyFill="1" applyBorder="1" applyAlignment="1">
      <alignment horizontal="center"/>
    </xf>
    <xf numFmtId="2" fontId="19" fillId="3" borderId="11" xfId="0" applyNumberFormat="1" applyFont="1" applyFill="1" applyBorder="1" applyAlignment="1">
      <alignment horizontal="right"/>
    </xf>
    <xf numFmtId="0" fontId="19" fillId="3" borderId="11" xfId="0" applyFont="1" applyFill="1" applyBorder="1" applyAlignment="1">
      <alignment horizontal="center"/>
    </xf>
    <xf numFmtId="0" fontId="4" fillId="3" borderId="0" xfId="0" applyFont="1" applyFill="1"/>
    <xf numFmtId="0" fontId="4" fillId="2" borderId="0" xfId="0" applyFont="1" applyFill="1"/>
    <xf numFmtId="0" fontId="0" fillId="0" borderId="0" xfId="0" applyAlignment="1">
      <alignment horizontal="right"/>
    </xf>
    <xf numFmtId="0" fontId="8" fillId="3" borderId="2" xfId="0" applyFont="1" applyFill="1" applyBorder="1" applyAlignment="1">
      <alignment horizontal="right"/>
    </xf>
    <xf numFmtId="0" fontId="1" fillId="0" borderId="2" xfId="0" applyFont="1" applyBorder="1"/>
    <xf numFmtId="0" fontId="9" fillId="3" borderId="2" xfId="0" applyFont="1" applyFill="1" applyBorder="1" applyAlignment="1">
      <alignment horizontal="right"/>
    </xf>
    <xf numFmtId="0" fontId="8" fillId="3" borderId="2" xfId="0" applyFont="1" applyFill="1" applyBorder="1" applyAlignment="1">
      <alignment horizontal="left"/>
    </xf>
    <xf numFmtId="0" fontId="8" fillId="3" borderId="2" xfId="0" applyFont="1" applyFill="1" applyBorder="1"/>
    <xf numFmtId="0" fontId="9" fillId="3" borderId="2" xfId="0" applyFont="1" applyFill="1" applyBorder="1"/>
    <xf numFmtId="0" fontId="8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8" fillId="3" borderId="7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right"/>
    </xf>
    <xf numFmtId="0" fontId="1" fillId="0" borderId="7" xfId="0" applyFont="1" applyBorder="1"/>
    <xf numFmtId="0" fontId="8" fillId="3" borderId="9" xfId="0" applyFont="1" applyFill="1" applyBorder="1"/>
    <xf numFmtId="0" fontId="8" fillId="0" borderId="0" xfId="0" applyFont="1"/>
    <xf numFmtId="0" fontId="8" fillId="3" borderId="0" xfId="0" applyFont="1" applyFill="1"/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8" fillId="3" borderId="5" xfId="0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9" fillId="2" borderId="0" xfId="0" applyFont="1" applyFill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center"/>
    </xf>
    <xf numFmtId="2" fontId="8" fillId="2" borderId="7" xfId="0" applyNumberFormat="1" applyFont="1" applyFill="1" applyBorder="1" applyAlignment="1">
      <alignment horizontal="center"/>
    </xf>
    <xf numFmtId="0" fontId="8" fillId="3" borderId="5" xfId="0" applyFont="1" applyFill="1" applyBorder="1"/>
    <xf numFmtId="0" fontId="1" fillId="3" borderId="0" xfId="0" applyFont="1" applyFill="1" applyAlignment="1">
      <alignment horizontal="right"/>
    </xf>
    <xf numFmtId="0" fontId="9" fillId="2" borderId="0" xfId="0" applyFont="1" applyFill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2" borderId="8" xfId="0" applyNumberFormat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2" fontId="8" fillId="2" borderId="11" xfId="0" applyNumberFormat="1" applyFont="1" applyFill="1" applyBorder="1" applyAlignment="1">
      <alignment horizontal="center"/>
    </xf>
    <xf numFmtId="0" fontId="8" fillId="2" borderId="0" xfId="0" applyFont="1" applyFill="1"/>
    <xf numFmtId="0" fontId="13" fillId="2" borderId="0" xfId="0" applyFont="1" applyFill="1" applyAlignment="1">
      <alignment horizontal="right"/>
    </xf>
    <xf numFmtId="9" fontId="13" fillId="2" borderId="0" xfId="2" applyFont="1" applyFill="1" applyBorder="1" applyAlignment="1" applyProtection="1">
      <alignment horizontal="center"/>
    </xf>
    <xf numFmtId="0" fontId="13" fillId="2" borderId="0" xfId="0" applyFont="1" applyFill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center"/>
    </xf>
    <xf numFmtId="0" fontId="13" fillId="2" borderId="0" xfId="2" applyNumberFormat="1" applyFont="1" applyFill="1" applyBorder="1" applyAlignment="1" applyProtection="1">
      <alignment horizontal="center"/>
    </xf>
    <xf numFmtId="0" fontId="13" fillId="2" borderId="0" xfId="2" applyNumberFormat="1" applyFont="1" applyFill="1" applyBorder="1" applyAlignment="1" applyProtection="1">
      <alignment horizontal="center"/>
      <protection locked="0"/>
    </xf>
    <xf numFmtId="0" fontId="20" fillId="2" borderId="11" xfId="2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right"/>
    </xf>
    <xf numFmtId="0" fontId="8" fillId="2" borderId="11" xfId="0" applyFont="1" applyFill="1" applyBorder="1" applyAlignment="1">
      <alignment horizontal="center"/>
    </xf>
    <xf numFmtId="0" fontId="1" fillId="3" borderId="19" xfId="0" applyFont="1" applyFill="1" applyBorder="1"/>
    <xf numFmtId="9" fontId="14" fillId="3" borderId="20" xfId="2" applyFont="1" applyFill="1" applyBorder="1" applyAlignment="1" applyProtection="1"/>
    <xf numFmtId="0" fontId="9" fillId="3" borderId="20" xfId="0" applyFont="1" applyFill="1" applyBorder="1"/>
    <xf numFmtId="0" fontId="8" fillId="3" borderId="20" xfId="0" applyFont="1" applyFill="1" applyBorder="1"/>
    <xf numFmtId="0" fontId="8" fillId="3" borderId="20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8" fillId="3" borderId="21" xfId="0" applyFont="1" applyFill="1" applyBorder="1"/>
    <xf numFmtId="0" fontId="1" fillId="0" borderId="0" xfId="0" applyFont="1" applyAlignment="1">
      <alignment horizontal="left"/>
    </xf>
    <xf numFmtId="9" fontId="2" fillId="9" borderId="27" xfId="2" applyFont="1" applyFill="1" applyBorder="1" applyAlignment="1" applyProtection="1">
      <alignment horizontal="center"/>
      <protection locked="0"/>
    </xf>
    <xf numFmtId="9" fontId="12" fillId="9" borderId="28" xfId="2" applyFont="1" applyFill="1" applyBorder="1" applyAlignment="1" applyProtection="1">
      <alignment horizontal="center"/>
      <protection locked="0"/>
    </xf>
    <xf numFmtId="9" fontId="8" fillId="7" borderId="25" xfId="2" applyFont="1" applyFill="1" applyBorder="1" applyAlignment="1" applyProtection="1">
      <alignment horizontal="center"/>
    </xf>
    <xf numFmtId="1" fontId="8" fillId="10" borderId="29" xfId="2" applyNumberFormat="1" applyFont="1" applyFill="1" applyBorder="1" applyAlignment="1" applyProtection="1">
      <alignment horizontal="center"/>
      <protection locked="0"/>
    </xf>
    <xf numFmtId="9" fontId="12" fillId="9" borderId="30" xfId="2" applyFont="1" applyFill="1" applyBorder="1" applyAlignment="1" applyProtection="1">
      <alignment horizontal="center"/>
      <protection locked="0"/>
    </xf>
    <xf numFmtId="9" fontId="21" fillId="7" borderId="25" xfId="2" applyFont="1" applyFill="1" applyBorder="1" applyAlignment="1" applyProtection="1">
      <alignment horizontal="center"/>
      <protection locked="0"/>
    </xf>
    <xf numFmtId="1" fontId="8" fillId="11" borderId="29" xfId="2" applyNumberFormat="1" applyFont="1" applyFill="1" applyBorder="1" applyAlignment="1" applyProtection="1">
      <alignment horizontal="center"/>
      <protection locked="0"/>
    </xf>
    <xf numFmtId="170" fontId="8" fillId="10" borderId="28" xfId="1" applyNumberFormat="1" applyFont="1" applyFill="1" applyBorder="1" applyAlignment="1" applyProtection="1">
      <alignment horizontal="center"/>
      <protection locked="0"/>
    </xf>
    <xf numFmtId="9" fontId="2" fillId="9" borderId="30" xfId="2" applyFont="1" applyFill="1" applyBorder="1" applyAlignment="1" applyProtection="1">
      <alignment horizontal="center"/>
      <protection locked="0"/>
    </xf>
    <xf numFmtId="9" fontId="8" fillId="9" borderId="27" xfId="0" applyNumberFormat="1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 vertical="center" wrapText="1"/>
    </xf>
    <xf numFmtId="170" fontId="0" fillId="0" borderId="0" xfId="0" applyNumberFormat="1"/>
    <xf numFmtId="0" fontId="8" fillId="0" borderId="0" xfId="0" applyFont="1" applyAlignment="1">
      <alignment horizontal="center" vertical="center" wrapText="1"/>
    </xf>
    <xf numFmtId="165" fontId="0" fillId="0" borderId="0" xfId="0" applyNumberFormat="1"/>
    <xf numFmtId="0" fontId="8" fillId="5" borderId="40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/>
    </xf>
    <xf numFmtId="0" fontId="15" fillId="3" borderId="12" xfId="0" applyFont="1" applyFill="1" applyBorder="1" applyProtection="1">
      <protection locked="0"/>
    </xf>
    <xf numFmtId="0" fontId="22" fillId="3" borderId="24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2" fontId="3" fillId="12" borderId="45" xfId="1" applyNumberFormat="1" applyFont="1" applyFill="1" applyBorder="1" applyAlignment="1" applyProtection="1">
      <alignment horizontal="center"/>
    </xf>
    <xf numFmtId="0" fontId="15" fillId="3" borderId="46" xfId="0" applyFont="1" applyFill="1" applyBorder="1" applyAlignment="1" applyProtection="1">
      <alignment horizontal="center"/>
      <protection locked="0"/>
    </xf>
    <xf numFmtId="2" fontId="23" fillId="12" borderId="6" xfId="1" applyNumberFormat="1" applyFont="1" applyFill="1" applyBorder="1" applyAlignment="1" applyProtection="1">
      <alignment horizontal="center"/>
    </xf>
    <xf numFmtId="2" fontId="23" fillId="12" borderId="8" xfId="1" applyNumberFormat="1" applyFont="1" applyFill="1" applyBorder="1" applyAlignment="1" applyProtection="1">
      <alignment horizontal="center"/>
    </xf>
    <xf numFmtId="2" fontId="3" fillId="12" borderId="8" xfId="0" applyNumberFormat="1" applyFont="1" applyFill="1" applyBorder="1" applyAlignment="1">
      <alignment horizontal="center"/>
    </xf>
    <xf numFmtId="2" fontId="15" fillId="3" borderId="8" xfId="0" applyNumberFormat="1" applyFont="1" applyFill="1" applyBorder="1" applyAlignment="1" applyProtection="1">
      <alignment horizontal="center"/>
      <protection locked="0"/>
    </xf>
    <xf numFmtId="2" fontId="3" fillId="12" borderId="8" xfId="1" applyNumberFormat="1" applyFont="1" applyFill="1" applyBorder="1" applyAlignment="1" applyProtection="1">
      <alignment horizontal="center"/>
    </xf>
    <xf numFmtId="2" fontId="15" fillId="3" borderId="9" xfId="0" applyNumberFormat="1" applyFont="1" applyFill="1" applyBorder="1" applyAlignment="1" applyProtection="1">
      <alignment horizontal="center"/>
      <protection locked="0"/>
    </xf>
    <xf numFmtId="2" fontId="3" fillId="12" borderId="47" xfId="1" applyNumberFormat="1" applyFont="1" applyFill="1" applyBorder="1" applyAlignment="1" applyProtection="1">
      <alignment horizontal="center"/>
    </xf>
    <xf numFmtId="2" fontId="3" fillId="3" borderId="48" xfId="0" applyNumberFormat="1" applyFont="1" applyFill="1" applyBorder="1" applyAlignment="1">
      <alignment horizontal="center"/>
    </xf>
    <xf numFmtId="168" fontId="24" fillId="3" borderId="22" xfId="0" applyNumberFormat="1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5" fillId="3" borderId="11" xfId="0" applyFont="1" applyFill="1" applyBorder="1" applyAlignment="1">
      <alignment horizontal="center"/>
    </xf>
    <xf numFmtId="0" fontId="22" fillId="3" borderId="4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2" fontId="3" fillId="12" borderId="11" xfId="0" applyNumberFormat="1" applyFont="1" applyFill="1" applyBorder="1" applyAlignment="1">
      <alignment horizontal="center"/>
    </xf>
    <xf numFmtId="2" fontId="15" fillId="3" borderId="11" xfId="0" applyNumberFormat="1" applyFont="1" applyFill="1" applyBorder="1" applyAlignment="1" applyProtection="1">
      <alignment horizontal="center"/>
      <protection locked="0"/>
    </xf>
    <xf numFmtId="2" fontId="23" fillId="12" borderId="11" xfId="1" applyNumberFormat="1" applyFont="1" applyFill="1" applyBorder="1" applyAlignment="1" applyProtection="1">
      <alignment horizontal="center"/>
    </xf>
    <xf numFmtId="2" fontId="3" fillId="12" borderId="1" xfId="1" applyNumberFormat="1" applyFont="1" applyFill="1" applyBorder="1" applyAlignment="1" applyProtection="1">
      <alignment horizontal="center"/>
    </xf>
    <xf numFmtId="2" fontId="3" fillId="3" borderId="15" xfId="0" applyNumberFormat="1" applyFont="1" applyFill="1" applyBorder="1" applyAlignment="1">
      <alignment horizontal="center"/>
    </xf>
    <xf numFmtId="168" fontId="24" fillId="3" borderId="16" xfId="0" applyNumberFormat="1" applyFont="1" applyFill="1" applyBorder="1" applyAlignment="1">
      <alignment horizontal="center"/>
    </xf>
    <xf numFmtId="2" fontId="3" fillId="12" borderId="12" xfId="1" applyNumberFormat="1" applyFont="1" applyFill="1" applyBorder="1" applyAlignment="1" applyProtection="1">
      <alignment horizontal="center"/>
    </xf>
    <xf numFmtId="2" fontId="3" fillId="12" borderId="4" xfId="1" applyNumberFormat="1" applyFont="1" applyFill="1" applyBorder="1" applyAlignment="1" applyProtection="1">
      <alignment horizontal="center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12" xfId="0" applyFont="1" applyFill="1" applyBorder="1" applyProtection="1">
      <protection locked="0"/>
    </xf>
    <xf numFmtId="0" fontId="22" fillId="2" borderId="49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left" vertical="top"/>
    </xf>
    <xf numFmtId="0" fontId="15" fillId="3" borderId="1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left" vertical="top"/>
    </xf>
    <xf numFmtId="0" fontId="8" fillId="3" borderId="2" xfId="0" applyFont="1" applyFill="1" applyBorder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7" xfId="0" applyFont="1" applyFill="1" applyBorder="1" applyAlignment="1" applyProtection="1">
      <alignment horizontal="left"/>
      <protection locked="0"/>
    </xf>
    <xf numFmtId="0" fontId="9" fillId="2" borderId="50" xfId="0" applyFont="1" applyFill="1" applyBorder="1" applyAlignment="1">
      <alignment horizontal="center"/>
    </xf>
    <xf numFmtId="0" fontId="13" fillId="3" borderId="0" xfId="0" applyFont="1" applyFill="1" applyAlignment="1">
      <alignment horizontal="right"/>
    </xf>
    <xf numFmtId="0" fontId="1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right"/>
    </xf>
    <xf numFmtId="0" fontId="13" fillId="0" borderId="0" xfId="0" applyFont="1"/>
    <xf numFmtId="0" fontId="8" fillId="5" borderId="40" xfId="0" applyFont="1" applyFill="1" applyBorder="1" applyAlignment="1">
      <alignment horizontal="left" vertical="center" wrapText="1"/>
    </xf>
    <xf numFmtId="0" fontId="15" fillId="3" borderId="51" xfId="0" applyFont="1" applyFill="1" applyBorder="1" applyAlignment="1" applyProtection="1">
      <alignment horizontal="center"/>
      <protection locked="0"/>
    </xf>
    <xf numFmtId="2" fontId="3" fillId="12" borderId="14" xfId="1" applyNumberFormat="1" applyFont="1" applyFill="1" applyBorder="1" applyAlignment="1" applyProtection="1">
      <alignment horizontal="center"/>
    </xf>
    <xf numFmtId="2" fontId="3" fillId="3" borderId="13" xfId="0" applyNumberFormat="1" applyFont="1" applyFill="1" applyBorder="1" applyAlignment="1">
      <alignment horizontal="center"/>
    </xf>
    <xf numFmtId="168" fontId="24" fillId="3" borderId="14" xfId="0" applyNumberFormat="1" applyFont="1" applyFill="1" applyBorder="1" applyAlignment="1">
      <alignment horizontal="center"/>
    </xf>
    <xf numFmtId="2" fontId="3" fillId="12" borderId="52" xfId="1" applyNumberFormat="1" applyFont="1" applyFill="1" applyBorder="1" applyAlignment="1" applyProtection="1">
      <alignment horizontal="center"/>
    </xf>
    <xf numFmtId="0" fontId="3" fillId="3" borderId="50" xfId="0" applyFont="1" applyFill="1" applyBorder="1" applyAlignment="1">
      <alignment horizontal="center"/>
    </xf>
    <xf numFmtId="2" fontId="3" fillId="12" borderId="16" xfId="1" applyNumberFormat="1" applyFont="1" applyFill="1" applyBorder="1" applyAlignment="1" applyProtection="1">
      <alignment horizontal="center"/>
    </xf>
    <xf numFmtId="2" fontId="3" fillId="12" borderId="31" xfId="1" applyNumberFormat="1" applyFont="1" applyFill="1" applyBorder="1" applyAlignment="1" applyProtection="1">
      <alignment horizontal="center"/>
    </xf>
    <xf numFmtId="0" fontId="0" fillId="2" borderId="0" xfId="0" applyFill="1"/>
    <xf numFmtId="0" fontId="25" fillId="9" borderId="0" xfId="0" applyFont="1" applyFill="1"/>
    <xf numFmtId="0" fontId="0" fillId="9" borderId="0" xfId="0" applyFill="1"/>
    <xf numFmtId="9" fontId="0" fillId="2" borderId="0" xfId="0" applyNumberFormat="1" applyFill="1"/>
    <xf numFmtId="16" fontId="9" fillId="3" borderId="2" xfId="0" quotePrefix="1" applyNumberFormat="1" applyFont="1" applyFill="1" applyBorder="1" applyAlignment="1" applyProtection="1">
      <alignment horizontal="left"/>
      <protection locked="0"/>
    </xf>
    <xf numFmtId="16" fontId="9" fillId="3" borderId="2" xfId="0" quotePrefix="1" applyNumberFormat="1" applyFont="1" applyFill="1" applyBorder="1" applyAlignment="1">
      <alignment horizontal="left"/>
    </xf>
    <xf numFmtId="16" fontId="9" fillId="3" borderId="0" xfId="0" quotePrefix="1" applyNumberFormat="1" applyFont="1" applyFill="1" applyAlignment="1">
      <alignment horizontal="center"/>
    </xf>
    <xf numFmtId="0" fontId="8" fillId="3" borderId="2" xfId="0" applyFont="1" applyFill="1" applyBorder="1" applyAlignment="1" applyProtection="1">
      <alignment horizontal="left"/>
      <protection locked="0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5" fillId="3" borderId="20" xfId="0" applyFont="1" applyFill="1" applyBorder="1" applyAlignment="1">
      <alignment horizontal="right"/>
    </xf>
    <xf numFmtId="9" fontId="2" fillId="9" borderId="25" xfId="2" applyFont="1" applyFill="1" applyBorder="1" applyAlignment="1" applyProtection="1">
      <alignment horizontal="center"/>
      <protection locked="0"/>
    </xf>
    <xf numFmtId="9" fontId="2" fillId="9" borderId="26" xfId="2" applyFont="1" applyFill="1" applyBorder="1" applyAlignment="1" applyProtection="1">
      <alignment horizontal="center"/>
      <protection locked="0"/>
    </xf>
    <xf numFmtId="9" fontId="8" fillId="5" borderId="25" xfId="2" applyFont="1" applyFill="1" applyBorder="1" applyAlignment="1" applyProtection="1">
      <alignment horizontal="center"/>
    </xf>
    <xf numFmtId="9" fontId="8" fillId="5" borderId="26" xfId="2" applyFont="1" applyFill="1" applyBorder="1" applyAlignment="1" applyProtection="1">
      <alignment horizontal="center"/>
    </xf>
    <xf numFmtId="0" fontId="8" fillId="5" borderId="22" xfId="0" applyFont="1" applyFill="1" applyBorder="1" applyAlignment="1">
      <alignment horizontal="center" vertical="center" wrapText="1"/>
    </xf>
    <xf numFmtId="0" fontId="8" fillId="5" borderId="31" xfId="0" applyFont="1" applyFill="1" applyBorder="1" applyAlignment="1">
      <alignment horizontal="center" vertical="center" wrapText="1"/>
    </xf>
    <xf numFmtId="0" fontId="8" fillId="5" borderId="39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left" vertical="center" wrapText="1"/>
    </xf>
    <xf numFmtId="0" fontId="8" fillId="5" borderId="33" xfId="0" applyFont="1" applyFill="1" applyBorder="1" applyAlignment="1">
      <alignment horizontal="left" vertical="center" wrapText="1"/>
    </xf>
    <xf numFmtId="0" fontId="8" fillId="5" borderId="24" xfId="0" applyFont="1" applyFill="1" applyBorder="1" applyAlignment="1">
      <alignment horizontal="center" vertical="center" wrapText="1"/>
    </xf>
    <xf numFmtId="0" fontId="8" fillId="5" borderId="33" xfId="0" applyFont="1" applyFill="1" applyBorder="1" applyAlignment="1">
      <alignment horizontal="center" vertical="center" wrapText="1"/>
    </xf>
    <xf numFmtId="0" fontId="8" fillId="5" borderId="41" xfId="0" applyFont="1" applyFill="1" applyBorder="1" applyAlignment="1">
      <alignment horizontal="center" vertical="center" wrapText="1"/>
    </xf>
    <xf numFmtId="0" fontId="21" fillId="7" borderId="34" xfId="0" applyFont="1" applyFill="1" applyBorder="1" applyAlignment="1">
      <alignment horizontal="center" vertical="center" wrapText="1"/>
    </xf>
    <xf numFmtId="0" fontId="21" fillId="7" borderId="42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5" fillId="7" borderId="39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 applyProtection="1">
      <alignment horizontal="center" vertical="center" wrapText="1"/>
      <protection locked="0"/>
    </xf>
    <xf numFmtId="0" fontId="21" fillId="9" borderId="17" xfId="0" applyFont="1" applyFill="1" applyBorder="1" applyAlignment="1" applyProtection="1">
      <alignment horizontal="center" vertical="center" wrapText="1"/>
      <protection locked="0"/>
    </xf>
    <xf numFmtId="0" fontId="21" fillId="7" borderId="4" xfId="0" applyFont="1" applyFill="1" applyBorder="1" applyAlignment="1" applyProtection="1">
      <alignment horizontal="center" vertical="center" wrapText="1"/>
      <protection locked="0"/>
    </xf>
    <xf numFmtId="0" fontId="21" fillId="7" borderId="19" xfId="0" applyFont="1" applyFill="1" applyBorder="1" applyAlignment="1" applyProtection="1">
      <alignment horizontal="center" vertical="center" wrapText="1"/>
      <protection locked="0"/>
    </xf>
    <xf numFmtId="0" fontId="21" fillId="7" borderId="36" xfId="0" applyFont="1" applyFill="1" applyBorder="1" applyAlignment="1">
      <alignment horizontal="center" vertical="center" wrapText="1"/>
    </xf>
    <xf numFmtId="0" fontId="21" fillId="7" borderId="43" xfId="0" applyFont="1" applyFill="1" applyBorder="1" applyAlignment="1">
      <alignment horizontal="center" vertical="center" wrapText="1"/>
    </xf>
    <xf numFmtId="0" fontId="15" fillId="7" borderId="36" xfId="0" applyFont="1" applyFill="1" applyBorder="1" applyAlignment="1">
      <alignment horizontal="center" vertical="center"/>
    </xf>
    <xf numFmtId="0" fontId="15" fillId="7" borderId="43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21" fillId="7" borderId="37" xfId="0" applyFont="1" applyFill="1" applyBorder="1" applyAlignment="1">
      <alignment horizontal="center" vertical="center" wrapText="1"/>
    </xf>
    <xf numFmtId="0" fontId="21" fillId="7" borderId="44" xfId="0" applyFont="1" applyFill="1" applyBorder="1" applyAlignment="1">
      <alignment horizontal="center" vertical="center" wrapText="1"/>
    </xf>
    <xf numFmtId="0" fontId="15" fillId="7" borderId="24" xfId="0" applyFont="1" applyFill="1" applyBorder="1" applyAlignment="1">
      <alignment horizontal="center" vertical="center" wrapText="1"/>
    </xf>
    <xf numFmtId="0" fontId="15" fillId="7" borderId="41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41" xfId="0" applyFont="1" applyFill="1" applyBorder="1" applyAlignment="1">
      <alignment horizontal="center" vertical="center" wrapText="1"/>
    </xf>
    <xf numFmtId="0" fontId="21" fillId="5" borderId="36" xfId="0" applyFont="1" applyFill="1" applyBorder="1" applyAlignment="1">
      <alignment horizontal="center" vertical="center" wrapText="1"/>
    </xf>
    <xf numFmtId="0" fontId="21" fillId="5" borderId="38" xfId="0" applyFont="1" applyFill="1" applyBorder="1" applyAlignment="1">
      <alignment horizontal="center" vertical="center" wrapText="1"/>
    </xf>
    <xf numFmtId="0" fontId="21" fillId="5" borderId="43" xfId="0" applyFont="1" applyFill="1" applyBorder="1" applyAlignment="1">
      <alignment horizontal="center" vertical="center" wrapText="1"/>
    </xf>
    <xf numFmtId="0" fontId="21" fillId="5" borderId="2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left"/>
    </xf>
    <xf numFmtId="0" fontId="8" fillId="5" borderId="23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27">
    <dxf>
      <font>
        <color indexed="10"/>
      </font>
    </dxf>
    <dxf>
      <font>
        <color theme="0"/>
      </font>
    </dxf>
    <dxf>
      <font>
        <color theme="0"/>
      </font>
    </dxf>
    <dxf>
      <font>
        <color theme="1"/>
      </font>
      <fill>
        <patternFill patternType="solid">
          <bgColor theme="0"/>
        </patternFill>
      </fill>
    </dxf>
    <dxf>
      <font>
        <color rgb="FFFF0000"/>
      </font>
    </dxf>
    <dxf>
      <font>
        <color theme="1"/>
      </font>
      <fill>
        <patternFill patternType="solid">
          <bgColor rgb="FFFFFF00"/>
        </patternFill>
      </fill>
    </dxf>
    <dxf>
      <fill>
        <patternFill patternType="solid">
          <bgColor theme="8" tint="0.59996337778862885"/>
        </patternFill>
      </fill>
    </dxf>
    <dxf>
      <font>
        <color indexed="10"/>
      </font>
    </dxf>
    <dxf>
      <fill>
        <patternFill patternType="solid">
          <bgColor rgb="FFFFFF66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patternFill patternType="none"/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strike val="0"/>
        <color theme="3" tint="0.79985961485641044"/>
      </font>
      <fill>
        <patternFill patternType="solid">
          <bgColor theme="3" tint="0.79985961485641044"/>
        </patternFill>
      </fill>
    </dxf>
    <dxf>
      <fill>
        <patternFill patternType="solid">
          <bgColor rgb="FFFFFF99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patternFill patternType="none"/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strike val="0"/>
        <color theme="3" tint="0.79985961485641044"/>
      </font>
      <fill>
        <patternFill patternType="solid">
          <bgColor theme="3" tint="0.79985961485641044"/>
        </patternFill>
      </fill>
    </dxf>
    <dxf>
      <fill>
        <patternFill patternType="solid">
          <bgColor rgb="FFFFFF99"/>
        </patternFill>
      </fill>
    </dxf>
  </dxfs>
  <tableStyles count="0" defaultTableStyle="TableStyleMedium2" defaultPivotStyle="PivotStyleLight16"/>
  <colors>
    <mruColors>
      <color rgb="FFFF3300"/>
      <color rgb="FF99FF33"/>
      <color rgb="FF00FFFF"/>
      <color rgb="FFFFFF66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10</xdr:row>
      <xdr:rowOff>91440</xdr:rowOff>
    </xdr:from>
    <xdr:to>
      <xdr:col>12</xdr:col>
      <xdr:colOff>502920</xdr:colOff>
      <xdr:row>14</xdr:row>
      <xdr:rowOff>22860</xdr:rowOff>
    </xdr:to>
    <xdr:sp macro="" textlink="">
      <xdr:nvSpPr>
        <xdr:cNvPr id="4" name="Callout: Bent 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45860" y="1932940"/>
          <a:ext cx="1724660" cy="668020"/>
        </a:xfrm>
        <a:prstGeom prst="borderCallout2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 to the total number of meetings per grading period</a:t>
          </a:r>
        </a:p>
      </xdr:txBody>
    </xdr:sp>
    <xdr:clientData/>
  </xdr:twoCellAnchor>
  <xdr:twoCellAnchor>
    <xdr:from>
      <xdr:col>14</xdr:col>
      <xdr:colOff>388620</xdr:colOff>
      <xdr:row>8</xdr:row>
      <xdr:rowOff>167640</xdr:rowOff>
    </xdr:from>
    <xdr:to>
      <xdr:col>17</xdr:col>
      <xdr:colOff>167640</xdr:colOff>
      <xdr:row>12</xdr:row>
      <xdr:rowOff>45720</xdr:rowOff>
    </xdr:to>
    <xdr:sp macro="" textlink="">
      <xdr:nvSpPr>
        <xdr:cNvPr id="7" name="Callout: Bent Lin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100820" y="1640840"/>
          <a:ext cx="1645920" cy="614680"/>
        </a:xfrm>
        <a:prstGeom prst="borderCallout2">
          <a:avLst>
            <a:gd name="adj1" fmla="val 105000"/>
            <a:gd name="adj2" fmla="val 50435"/>
            <a:gd name="adj3" fmla="val 151250"/>
            <a:gd name="adj4" fmla="val -1027"/>
            <a:gd name="adj5" fmla="val 226250"/>
            <a:gd name="adj6" fmla="val -543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</a:t>
          </a:r>
          <a:r>
            <a:rPr lang="en-PH" sz="1100" baseline="0"/>
            <a:t> this to 'LAB' if you dont have a Project.</a:t>
          </a:r>
          <a:endParaRPr lang="en-PH" sz="1100"/>
        </a:p>
      </xdr:txBody>
    </xdr:sp>
    <xdr:clientData/>
  </xdr:twoCellAnchor>
  <xdr:twoCellAnchor editAs="oneCell">
    <xdr:from>
      <xdr:col>8</xdr:col>
      <xdr:colOff>161972</xdr:colOff>
      <xdr:row>17</xdr:row>
      <xdr:rowOff>3811</xdr:rowOff>
    </xdr:from>
    <xdr:to>
      <xdr:col>10</xdr:col>
      <xdr:colOff>47258</xdr:colOff>
      <xdr:row>19</xdr:row>
      <xdr:rowOff>7531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0325" y="3134360"/>
          <a:ext cx="1129665" cy="371475"/>
        </a:xfrm>
        <a:prstGeom prst="rect">
          <a:avLst/>
        </a:prstGeom>
      </xdr:spPr>
    </xdr:pic>
    <xdr:clientData/>
  </xdr:twoCellAnchor>
  <xdr:twoCellAnchor>
    <xdr:from>
      <xdr:col>3</xdr:col>
      <xdr:colOff>365760</xdr:colOff>
      <xdr:row>5</xdr:row>
      <xdr:rowOff>38101</xdr:rowOff>
    </xdr:from>
    <xdr:to>
      <xdr:col>19</xdr:col>
      <xdr:colOff>350520</xdr:colOff>
      <xdr:row>24</xdr:row>
      <xdr:rowOff>135181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2205711" y="967369"/>
          <a:ext cx="9797833" cy="3628300"/>
          <a:chOff x="2205711" y="967369"/>
          <a:chExt cx="9797833" cy="3628300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205711" y="967369"/>
            <a:ext cx="9797833" cy="3628300"/>
          </a:xfrm>
          <a:prstGeom prst="rect">
            <a:avLst/>
          </a:prstGeom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097646" y="3192647"/>
            <a:ext cx="290971" cy="290971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330819</xdr:colOff>
      <xdr:row>11</xdr:row>
      <xdr:rowOff>111698</xdr:rowOff>
    </xdr:from>
    <xdr:to>
      <xdr:col>21</xdr:col>
      <xdr:colOff>22301</xdr:colOff>
      <xdr:row>14</xdr:row>
      <xdr:rowOff>119318</xdr:rowOff>
    </xdr:to>
    <xdr:sp macro="" textlink="">
      <xdr:nvSpPr>
        <xdr:cNvPr id="10" name="Callout: Bent Lin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531600" y="2136775"/>
          <a:ext cx="1558925" cy="56007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4864"/>
            <a:gd name="adj6" fmla="val -71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Change</a:t>
          </a:r>
          <a:r>
            <a:rPr lang="en-PH" sz="1100" baseline="0"/>
            <a:t> this to the total number of items.</a:t>
          </a:r>
          <a:endParaRPr lang="en-PH" sz="1100"/>
        </a:p>
      </xdr:txBody>
    </xdr:sp>
    <xdr:clientData/>
  </xdr:twoCellAnchor>
  <xdr:twoCellAnchor>
    <xdr:from>
      <xdr:col>19</xdr:col>
      <xdr:colOff>563880</xdr:colOff>
      <xdr:row>19</xdr:row>
      <xdr:rowOff>91440</xdr:rowOff>
    </xdr:from>
    <xdr:to>
      <xdr:col>22</xdr:col>
      <xdr:colOff>259080</xdr:colOff>
      <xdr:row>23</xdr:row>
      <xdr:rowOff>7620</xdr:rowOff>
    </xdr:to>
    <xdr:sp macro="" textlink="">
      <xdr:nvSpPr>
        <xdr:cNvPr id="11" name="Callout: Bent Lin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2387580" y="3590290"/>
          <a:ext cx="1562100" cy="65278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74427"/>
            <a:gd name="adj6" fmla="val -39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Total should be 100%. Otherwise, fields will be white-out.</a:t>
          </a:r>
        </a:p>
      </xdr:txBody>
    </xdr:sp>
    <xdr:clientData/>
  </xdr:twoCellAnchor>
  <xdr:twoCellAnchor>
    <xdr:from>
      <xdr:col>20</xdr:col>
      <xdr:colOff>38100</xdr:colOff>
      <xdr:row>26</xdr:row>
      <xdr:rowOff>45720</xdr:rowOff>
    </xdr:from>
    <xdr:to>
      <xdr:col>22</xdr:col>
      <xdr:colOff>342900</xdr:colOff>
      <xdr:row>29</xdr:row>
      <xdr:rowOff>152400</xdr:rowOff>
    </xdr:to>
    <xdr:sp macro="" textlink="">
      <xdr:nvSpPr>
        <xdr:cNvPr id="12" name="Callout: Bent Lin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2484100" y="4833620"/>
          <a:ext cx="1549400" cy="65913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57245"/>
            <a:gd name="adj6" fmla="val -3872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'inc' </a:t>
          </a:r>
          <a:r>
            <a:rPr lang="en-PH" sz="1100"/>
            <a:t>is automatic if components</a:t>
          </a:r>
          <a:r>
            <a:rPr lang="en-PH" sz="1100" baseline="0"/>
            <a:t> of grade is not complete.</a:t>
          </a:r>
          <a:endParaRPr lang="en-PH" sz="1100"/>
        </a:p>
      </xdr:txBody>
    </xdr:sp>
    <xdr:clientData/>
  </xdr:twoCellAnchor>
  <xdr:twoCellAnchor>
    <xdr:from>
      <xdr:col>16</xdr:col>
      <xdr:colOff>190500</xdr:colOff>
      <xdr:row>26</xdr:row>
      <xdr:rowOff>0</xdr:rowOff>
    </xdr:from>
    <xdr:to>
      <xdr:col>17</xdr:col>
      <xdr:colOff>594360</xdr:colOff>
      <xdr:row>30</xdr:row>
      <xdr:rowOff>129540</xdr:rowOff>
    </xdr:to>
    <xdr:sp macro="" textlink="">
      <xdr:nvSpPr>
        <xdr:cNvPr id="13" name="Callout: Bent Lin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147300" y="4787900"/>
          <a:ext cx="1026160" cy="86614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105563"/>
            <a:gd name="adj6" fmla="val 156998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 b="1"/>
            <a:t>'Fail'</a:t>
          </a:r>
          <a:r>
            <a:rPr lang="en-PH" sz="1100" b="1" baseline="0"/>
            <a:t> </a:t>
          </a:r>
          <a:r>
            <a:rPr lang="en-PH" sz="1100" baseline="0"/>
            <a:t>is based on flat 75.0.</a:t>
          </a:r>
        </a:p>
        <a:p>
          <a:pPr algn="l"/>
          <a:r>
            <a:rPr lang="en-PH" sz="1100" baseline="0"/>
            <a:t>So, a 74.6 is still a 'Fail'.</a:t>
          </a:r>
          <a:endParaRPr lang="en-PH" sz="1100"/>
        </a:p>
      </xdr:txBody>
    </xdr:sp>
    <xdr:clientData/>
  </xdr:twoCellAnchor>
  <xdr:twoCellAnchor>
    <xdr:from>
      <xdr:col>11</xdr:col>
      <xdr:colOff>579120</xdr:colOff>
      <xdr:row>25</xdr:row>
      <xdr:rowOff>160020</xdr:rowOff>
    </xdr:from>
    <xdr:to>
      <xdr:col>14</xdr:col>
      <xdr:colOff>83820</xdr:colOff>
      <xdr:row>34</xdr:row>
      <xdr:rowOff>129540</xdr:rowOff>
    </xdr:to>
    <xdr:sp macro="" textlink="">
      <xdr:nvSpPr>
        <xdr:cNvPr id="9" name="Callout: Bent Lin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424420" y="4763770"/>
          <a:ext cx="1371600" cy="1626870"/>
        </a:xfrm>
        <a:prstGeom prst="borderCallout2">
          <a:avLst>
            <a:gd name="adj1" fmla="val -9106"/>
            <a:gd name="adj2" fmla="val 46816"/>
            <a:gd name="adj3" fmla="val -86526"/>
            <a:gd name="adj4" fmla="val 44739"/>
            <a:gd name="adj5" fmla="val -103360"/>
            <a:gd name="adj6" fmla="val -10054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Quizzes can be MORE THAN 2.</a:t>
          </a:r>
          <a:r>
            <a:rPr lang="en-PH" sz="1100" baseline="0"/>
            <a:t> Use your own worksheet and copy paste-special the SUM here.</a:t>
          </a:r>
        </a:p>
        <a:p>
          <a:pPr algn="l"/>
          <a:r>
            <a:rPr lang="en-PH" sz="1100" baseline="0"/>
            <a:t>Dont forget to change the total number of items.</a:t>
          </a:r>
          <a:endParaRPr lang="en-PH" sz="1100"/>
        </a:p>
      </xdr:txBody>
    </xdr:sp>
    <xdr:clientData/>
  </xdr:twoCellAnchor>
  <xdr:twoCellAnchor>
    <xdr:from>
      <xdr:col>11</xdr:col>
      <xdr:colOff>373380</xdr:colOff>
      <xdr:row>3</xdr:row>
      <xdr:rowOff>38100</xdr:rowOff>
    </xdr:from>
    <xdr:to>
      <xdr:col>14</xdr:col>
      <xdr:colOff>243840</xdr:colOff>
      <xdr:row>5</xdr:row>
      <xdr:rowOff>137160</xdr:rowOff>
    </xdr:to>
    <xdr:sp macro="" textlink="">
      <xdr:nvSpPr>
        <xdr:cNvPr id="3" name="Callout: Bent 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8680" y="590550"/>
          <a:ext cx="1737360" cy="467360"/>
        </a:xfrm>
        <a:prstGeom prst="borderCallout2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Edit the necessary information</a:t>
          </a:r>
        </a:p>
      </xdr:txBody>
    </xdr:sp>
    <xdr:clientData/>
  </xdr:twoCellAnchor>
  <xdr:twoCellAnchor>
    <xdr:from>
      <xdr:col>8</xdr:col>
      <xdr:colOff>137160</xdr:colOff>
      <xdr:row>27</xdr:row>
      <xdr:rowOff>175260</xdr:rowOff>
    </xdr:from>
    <xdr:to>
      <xdr:col>11</xdr:col>
      <xdr:colOff>213360</xdr:colOff>
      <xdr:row>34</xdr:row>
      <xdr:rowOff>176561</xdr:rowOff>
    </xdr:to>
    <xdr:sp macro="" textlink="">
      <xdr:nvSpPr>
        <xdr:cNvPr id="8" name="Callout: Bent L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115560" y="5147310"/>
          <a:ext cx="1943100" cy="1290320"/>
        </a:xfrm>
        <a:prstGeom prst="borderCallout2">
          <a:avLst>
            <a:gd name="adj1" fmla="val -9106"/>
            <a:gd name="adj2" fmla="val 46816"/>
            <a:gd name="adj3" fmla="val -107186"/>
            <a:gd name="adj4" fmla="val 46625"/>
            <a:gd name="adj5" fmla="val -137038"/>
            <a:gd name="adj6" fmla="val 66918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CW is </a:t>
          </a:r>
          <a:r>
            <a:rPr lang="en-PH" sz="1100" b="1" u="sng"/>
            <a:t>REQUIRED </a:t>
          </a:r>
          <a:r>
            <a:rPr lang="en-PH" sz="1100"/>
            <a:t>field.</a:t>
          </a:r>
        </a:p>
        <a:p>
          <a:pPr algn="l"/>
          <a:r>
            <a:rPr lang="en-PH" sz="1100"/>
            <a:t>Put</a:t>
          </a:r>
          <a:r>
            <a:rPr lang="en-PH" sz="1100" baseline="0"/>
            <a:t> 0% as the weight and</a:t>
          </a:r>
        </a:p>
        <a:p>
          <a:pPr algn="l"/>
          <a:r>
            <a:rPr lang="en-PH" sz="1100" baseline="0"/>
            <a:t>50 as the grade entry, if you dont need the fields.</a:t>
          </a:r>
        </a:p>
        <a:p>
          <a:pPr algn="l"/>
          <a:endParaRPr lang="en-PH" sz="1100" baseline="0"/>
        </a:p>
        <a:p>
          <a:pPr algn="l"/>
          <a:r>
            <a:rPr lang="en-PH" sz="1100" baseline="0"/>
            <a:t>*Use 'Extra' in case you need additional field</a:t>
          </a:r>
          <a:endParaRPr lang="en-PH" sz="1100"/>
        </a:p>
      </xdr:txBody>
    </xdr:sp>
    <xdr:clientData/>
  </xdr:twoCellAnchor>
  <xdr:twoCellAnchor>
    <xdr:from>
      <xdr:col>6</xdr:col>
      <xdr:colOff>30480</xdr:colOff>
      <xdr:row>25</xdr:row>
      <xdr:rowOff>129540</xdr:rowOff>
    </xdr:from>
    <xdr:to>
      <xdr:col>7</xdr:col>
      <xdr:colOff>434340</xdr:colOff>
      <xdr:row>29</xdr:row>
      <xdr:rowOff>22860</xdr:rowOff>
    </xdr:to>
    <xdr:sp macro="" textlink="">
      <xdr:nvSpPr>
        <xdr:cNvPr id="6" name="Callout: Bent 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64280" y="4733290"/>
          <a:ext cx="1026160" cy="62992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50167"/>
            <a:gd name="adj6" fmla="val 142712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Input</a:t>
          </a:r>
          <a:r>
            <a:rPr lang="en-PH" sz="1100" baseline="0"/>
            <a:t> the total </a:t>
          </a:r>
          <a:r>
            <a:rPr lang="en-PH" sz="1100" b="1" u="sng" baseline="0"/>
            <a:t>ABSENCES </a:t>
          </a:r>
          <a:endParaRPr lang="en-PH" sz="1100"/>
        </a:p>
      </xdr:txBody>
    </xdr:sp>
    <xdr:clientData/>
  </xdr:twoCellAnchor>
  <xdr:twoCellAnchor>
    <xdr:from>
      <xdr:col>2</xdr:col>
      <xdr:colOff>68580</xdr:colOff>
      <xdr:row>25</xdr:row>
      <xdr:rowOff>144780</xdr:rowOff>
    </xdr:from>
    <xdr:to>
      <xdr:col>4</xdr:col>
      <xdr:colOff>251460</xdr:colOff>
      <xdr:row>32</xdr:row>
      <xdr:rowOff>22860</xdr:rowOff>
    </xdr:to>
    <xdr:sp macro="" textlink="">
      <xdr:nvSpPr>
        <xdr:cNvPr id="5" name="Callout: Bent 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13180" y="4748530"/>
          <a:ext cx="1427480" cy="1167130"/>
        </a:xfrm>
        <a:prstGeom prst="borderCallout2">
          <a:avLst>
            <a:gd name="adj1" fmla="val 21382"/>
            <a:gd name="adj2" fmla="val 104711"/>
            <a:gd name="adj3" fmla="val 21382"/>
            <a:gd name="adj4" fmla="val 120833"/>
            <a:gd name="adj5" fmla="val -50167"/>
            <a:gd name="adj6" fmla="val 142712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PH" sz="1100"/>
            <a:t>Copy and PASTE-SPECIAL the names of students from your sheet. Paste</a:t>
          </a:r>
          <a:r>
            <a:rPr lang="en-PH" sz="1100" baseline="0"/>
            <a:t> ONLY on the 'Midterm' Sheet</a:t>
          </a:r>
          <a:endParaRPr lang="en-PH" sz="1100"/>
        </a:p>
      </xdr:txBody>
    </xdr:sp>
    <xdr:clientData/>
  </xdr:twoCellAnchor>
  <xdr:twoCellAnchor editAs="oneCell">
    <xdr:from>
      <xdr:col>9</xdr:col>
      <xdr:colOff>300710</xdr:colOff>
      <xdr:row>17</xdr:row>
      <xdr:rowOff>19515</xdr:rowOff>
    </xdr:from>
    <xdr:to>
      <xdr:col>10</xdr:col>
      <xdr:colOff>30323</xdr:colOff>
      <xdr:row>18</xdr:row>
      <xdr:rowOff>153729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01055" y="3149600"/>
          <a:ext cx="351790" cy="318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</xdr:col>
      <xdr:colOff>723900</xdr:colOff>
      <xdr:row>5</xdr:row>
      <xdr:rowOff>91441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525"/>
          <a:ext cx="962025" cy="95186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171451</xdr:colOff>
      <xdr:row>6</xdr:row>
      <xdr:rowOff>95250</xdr:rowOff>
    </xdr:from>
    <xdr:to>
      <xdr:col>1</xdr:col>
      <xdr:colOff>516256</xdr:colOff>
      <xdr:row>9</xdr:row>
      <xdr:rowOff>56127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117600"/>
          <a:ext cx="592455" cy="4178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</xdr:col>
      <xdr:colOff>723900</xdr:colOff>
      <xdr:row>5</xdr:row>
      <xdr:rowOff>133351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525"/>
          <a:ext cx="962025" cy="95567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6</xdr:row>
      <xdr:rowOff>142875</xdr:rowOff>
    </xdr:from>
    <xdr:to>
      <xdr:col>1</xdr:col>
      <xdr:colOff>533401</xdr:colOff>
      <xdr:row>9</xdr:row>
      <xdr:rowOff>99942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27125"/>
          <a:ext cx="600075" cy="4140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5</xdr:row>
      <xdr:rowOff>9525</xdr:rowOff>
    </xdr:from>
    <xdr:to>
      <xdr:col>1</xdr:col>
      <xdr:colOff>609600</xdr:colOff>
      <xdr:row>10</xdr:row>
      <xdr:rowOff>28575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857250" cy="850900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819151</xdr:colOff>
      <xdr:row>6</xdr:row>
      <xdr:rowOff>66675</xdr:rowOff>
    </xdr:from>
    <xdr:to>
      <xdr:col>1</xdr:col>
      <xdr:colOff>1352551</xdr:colOff>
      <xdr:row>8</xdr:row>
      <xdr:rowOff>136051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276225"/>
          <a:ext cx="533400" cy="3740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3300"/>
  </sheetPr>
  <dimension ref="A10:C14"/>
  <sheetViews>
    <sheetView topLeftCell="A10" zoomScale="82" zoomScaleNormal="82" workbookViewId="0">
      <selection activeCell="D36" sqref="D36"/>
    </sheetView>
  </sheetViews>
  <sheetFormatPr defaultColWidth="8.88671875" defaultRowHeight="14.4"/>
  <cols>
    <col min="1" max="16384" width="8.88671875" style="206"/>
  </cols>
  <sheetData>
    <row r="10" spans="1:3">
      <c r="A10" s="207" t="s">
        <v>0</v>
      </c>
      <c r="B10" s="208"/>
      <c r="C10" s="208"/>
    </row>
    <row r="11" spans="1:3">
      <c r="A11" s="206" t="s">
        <v>1</v>
      </c>
      <c r="C11" s="209">
        <v>0.6</v>
      </c>
    </row>
    <row r="12" spans="1:3">
      <c r="A12" s="206" t="s">
        <v>2</v>
      </c>
      <c r="C12" s="209">
        <v>0.3</v>
      </c>
    </row>
    <row r="13" spans="1:3">
      <c r="A13" s="206" t="s">
        <v>3</v>
      </c>
      <c r="C13" s="209">
        <v>0.1</v>
      </c>
    </row>
    <row r="14" spans="1:3">
      <c r="C14" s="20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WWC133"/>
  <sheetViews>
    <sheetView tabSelected="1" zoomScale="130" zoomScaleNormal="130" workbookViewId="0">
      <pane xSplit="2" ySplit="14" topLeftCell="C15" activePane="bottomRight" state="frozen"/>
      <selection pane="topRight"/>
      <selection pane="bottomLeft"/>
      <selection pane="bottomRight" activeCell="M52" sqref="M52"/>
    </sheetView>
  </sheetViews>
  <sheetFormatPr defaultColWidth="9" defaultRowHeight="14.4"/>
  <cols>
    <col min="1" max="1" width="3.5546875" customWidth="1"/>
    <col min="2" max="2" width="26.5546875" customWidth="1"/>
    <col min="3" max="3" width="8.109375" customWidth="1"/>
    <col min="4" max="4" width="4.6640625" customWidth="1"/>
    <col min="5" max="5" width="5.33203125" customWidth="1"/>
    <col min="6" max="7" width="5.109375" customWidth="1"/>
    <col min="8" max="8" width="5" customWidth="1"/>
    <col min="9" max="9" width="6.5546875" customWidth="1"/>
    <col min="10" max="10" width="5" customWidth="1"/>
    <col min="11" max="11" width="6.5546875" customWidth="1"/>
    <col min="12" max="12" width="6.44140625" customWidth="1"/>
    <col min="13" max="13" width="5" customWidth="1"/>
    <col min="14" max="14" width="0.109375" hidden="1" customWidth="1"/>
    <col min="15" max="15" width="6.5546875" customWidth="1"/>
    <col min="16" max="16" width="5.6640625" customWidth="1"/>
    <col min="17" max="18" width="6.5546875" customWidth="1"/>
    <col min="19" max="19" width="6.6640625" hidden="1" customWidth="1"/>
    <col min="20" max="21" width="6.6640625" customWidth="1"/>
    <col min="22" max="22" width="8.88671875" customWidth="1"/>
    <col min="23" max="28" width="9.109375" hidden="1" customWidth="1"/>
    <col min="29" max="29" width="9.109375" style="87" hidden="1" customWidth="1"/>
    <col min="30" max="30" width="9.88671875" hidden="1" customWidth="1"/>
    <col min="31" max="31" width="9.109375" hidden="1" customWidth="1"/>
    <col min="32" max="32" width="7.33203125" hidden="1" customWidth="1"/>
    <col min="33" max="230" width="9.109375"/>
    <col min="231" max="231" width="3.5546875" customWidth="1"/>
    <col min="232" max="232" width="27.109375" customWidth="1"/>
    <col min="233" max="233" width="8.109375" customWidth="1"/>
    <col min="234" max="234" width="5" customWidth="1"/>
    <col min="235" max="235" width="6" customWidth="1"/>
    <col min="236" max="238" width="6.5546875" customWidth="1"/>
    <col min="239" max="240" width="7.5546875" customWidth="1"/>
    <col min="241" max="242" width="9" hidden="1" customWidth="1"/>
    <col min="243" max="243" width="7.109375" customWidth="1"/>
    <col min="244" max="244" width="7.5546875" customWidth="1"/>
    <col min="245" max="246" width="9" hidden="1" customWidth="1"/>
    <col min="247" max="247" width="0.109375" customWidth="1"/>
    <col min="248" max="248" width="9" hidden="1" customWidth="1"/>
    <col min="249" max="249" width="7.5546875" customWidth="1"/>
    <col min="250" max="250" width="7.6640625" customWidth="1"/>
    <col min="251" max="251" width="8.109375" customWidth="1"/>
    <col min="252" max="252" width="7.5546875" customWidth="1"/>
    <col min="253" max="254" width="9" hidden="1" customWidth="1"/>
    <col min="255" max="255" width="6.5546875" customWidth="1"/>
    <col min="256" max="256" width="7.33203125" customWidth="1"/>
    <col min="257" max="258" width="7.5546875" customWidth="1"/>
    <col min="259" max="260" width="9" hidden="1" customWidth="1"/>
    <col min="261" max="262" width="5.5546875" customWidth="1"/>
    <col min="263" max="263" width="7" customWidth="1"/>
    <col min="264" max="265" width="9" hidden="1" customWidth="1"/>
    <col min="266" max="266" width="8.88671875" customWidth="1"/>
    <col min="267" max="267" width="9.109375"/>
    <col min="268" max="277" width="9" hidden="1" customWidth="1"/>
    <col min="278" max="486" width="9.109375"/>
    <col min="487" max="487" width="3.5546875" customWidth="1"/>
    <col min="488" max="488" width="27.109375" customWidth="1"/>
    <col min="489" max="489" width="8.109375" customWidth="1"/>
    <col min="490" max="490" width="5" customWidth="1"/>
    <col min="491" max="491" width="6" customWidth="1"/>
    <col min="492" max="494" width="6.5546875" customWidth="1"/>
    <col min="495" max="496" width="7.5546875" customWidth="1"/>
    <col min="497" max="498" width="9" hidden="1" customWidth="1"/>
    <col min="499" max="499" width="7.109375" customWidth="1"/>
    <col min="500" max="500" width="7.5546875" customWidth="1"/>
    <col min="501" max="502" width="9" hidden="1" customWidth="1"/>
    <col min="503" max="503" width="0.109375" customWidth="1"/>
    <col min="504" max="504" width="9" hidden="1" customWidth="1"/>
    <col min="505" max="505" width="7.5546875" customWidth="1"/>
    <col min="506" max="506" width="7.6640625" customWidth="1"/>
    <col min="507" max="507" width="8.109375" customWidth="1"/>
    <col min="508" max="508" width="7.5546875" customWidth="1"/>
    <col min="509" max="510" width="9" hidden="1" customWidth="1"/>
    <col min="511" max="511" width="6.5546875" customWidth="1"/>
    <col min="512" max="512" width="7.33203125" customWidth="1"/>
    <col min="513" max="514" width="7.5546875" customWidth="1"/>
    <col min="515" max="516" width="9" hidden="1" customWidth="1"/>
    <col min="517" max="518" width="5.5546875" customWidth="1"/>
    <col min="519" max="519" width="7" customWidth="1"/>
    <col min="520" max="521" width="9" hidden="1" customWidth="1"/>
    <col min="522" max="522" width="8.88671875" customWidth="1"/>
    <col min="523" max="523" width="9.109375"/>
    <col min="524" max="533" width="9" hidden="1" customWidth="1"/>
    <col min="534" max="742" width="9.109375"/>
    <col min="743" max="743" width="3.5546875" customWidth="1"/>
    <col min="744" max="744" width="27.109375" customWidth="1"/>
    <col min="745" max="745" width="8.109375" customWidth="1"/>
    <col min="746" max="746" width="5" customWidth="1"/>
    <col min="747" max="747" width="6" customWidth="1"/>
    <col min="748" max="750" width="6.5546875" customWidth="1"/>
    <col min="751" max="752" width="7.5546875" customWidth="1"/>
    <col min="753" max="754" width="9" hidden="1" customWidth="1"/>
    <col min="755" max="755" width="7.109375" customWidth="1"/>
    <col min="756" max="756" width="7.5546875" customWidth="1"/>
    <col min="757" max="758" width="9" hidden="1" customWidth="1"/>
    <col min="759" max="759" width="0.109375" customWidth="1"/>
    <col min="760" max="760" width="9" hidden="1" customWidth="1"/>
    <col min="761" max="761" width="7.5546875" customWidth="1"/>
    <col min="762" max="762" width="7.6640625" customWidth="1"/>
    <col min="763" max="763" width="8.109375" customWidth="1"/>
    <col min="764" max="764" width="7.5546875" customWidth="1"/>
    <col min="765" max="766" width="9" hidden="1" customWidth="1"/>
    <col min="767" max="767" width="6.5546875" customWidth="1"/>
    <col min="768" max="768" width="7.33203125" customWidth="1"/>
    <col min="769" max="770" width="7.5546875" customWidth="1"/>
    <col min="771" max="772" width="9" hidden="1" customWidth="1"/>
    <col min="773" max="774" width="5.5546875" customWidth="1"/>
    <col min="775" max="775" width="7" customWidth="1"/>
    <col min="776" max="777" width="9" hidden="1" customWidth="1"/>
    <col min="778" max="778" width="8.88671875" customWidth="1"/>
    <col min="779" max="779" width="9.109375"/>
    <col min="780" max="789" width="9" hidden="1" customWidth="1"/>
    <col min="790" max="998" width="9.109375"/>
    <col min="999" max="999" width="3.5546875" customWidth="1"/>
    <col min="1000" max="1000" width="27.109375" customWidth="1"/>
    <col min="1001" max="1001" width="8.109375" customWidth="1"/>
    <col min="1002" max="1002" width="5" customWidth="1"/>
    <col min="1003" max="1003" width="6" customWidth="1"/>
    <col min="1004" max="1006" width="6.5546875" customWidth="1"/>
    <col min="1007" max="1008" width="7.5546875" customWidth="1"/>
    <col min="1009" max="1010" width="9" hidden="1" customWidth="1"/>
    <col min="1011" max="1011" width="7.109375" customWidth="1"/>
    <col min="1012" max="1012" width="7.5546875" customWidth="1"/>
    <col min="1013" max="1014" width="9" hidden="1" customWidth="1"/>
    <col min="1015" max="1015" width="0.109375" customWidth="1"/>
    <col min="1016" max="1016" width="9" hidden="1" customWidth="1"/>
    <col min="1017" max="1017" width="7.5546875" customWidth="1"/>
    <col min="1018" max="1018" width="7.6640625" customWidth="1"/>
    <col min="1019" max="1019" width="8.109375" customWidth="1"/>
    <col min="1020" max="1020" width="7.5546875" customWidth="1"/>
    <col min="1021" max="1022" width="9" hidden="1" customWidth="1"/>
    <col min="1023" max="1023" width="6.5546875" customWidth="1"/>
    <col min="1024" max="1024" width="7.33203125" customWidth="1"/>
    <col min="1025" max="1026" width="7.5546875" customWidth="1"/>
    <col min="1027" max="1028" width="9" hidden="1" customWidth="1"/>
    <col min="1029" max="1030" width="5.5546875" customWidth="1"/>
    <col min="1031" max="1031" width="7" customWidth="1"/>
    <col min="1032" max="1033" width="9" hidden="1" customWidth="1"/>
    <col min="1034" max="1034" width="8.88671875" customWidth="1"/>
    <col min="1035" max="1035" width="9.109375"/>
    <col min="1036" max="1045" width="9" hidden="1" customWidth="1"/>
    <col min="1046" max="1254" width="9.109375"/>
    <col min="1255" max="1255" width="3.5546875" customWidth="1"/>
    <col min="1256" max="1256" width="27.109375" customWidth="1"/>
    <col min="1257" max="1257" width="8.109375" customWidth="1"/>
    <col min="1258" max="1258" width="5" customWidth="1"/>
    <col min="1259" max="1259" width="6" customWidth="1"/>
    <col min="1260" max="1262" width="6.5546875" customWidth="1"/>
    <col min="1263" max="1264" width="7.5546875" customWidth="1"/>
    <col min="1265" max="1266" width="9" hidden="1" customWidth="1"/>
    <col min="1267" max="1267" width="7.109375" customWidth="1"/>
    <col min="1268" max="1268" width="7.5546875" customWidth="1"/>
    <col min="1269" max="1270" width="9" hidden="1" customWidth="1"/>
    <col min="1271" max="1271" width="0.109375" customWidth="1"/>
    <col min="1272" max="1272" width="9" hidden="1" customWidth="1"/>
    <col min="1273" max="1273" width="7.5546875" customWidth="1"/>
    <col min="1274" max="1274" width="7.6640625" customWidth="1"/>
    <col min="1275" max="1275" width="8.109375" customWidth="1"/>
    <col min="1276" max="1276" width="7.5546875" customWidth="1"/>
    <col min="1277" max="1278" width="9" hidden="1" customWidth="1"/>
    <col min="1279" max="1279" width="6.5546875" customWidth="1"/>
    <col min="1280" max="1280" width="7.33203125" customWidth="1"/>
    <col min="1281" max="1282" width="7.5546875" customWidth="1"/>
    <col min="1283" max="1284" width="9" hidden="1" customWidth="1"/>
    <col min="1285" max="1286" width="5.5546875" customWidth="1"/>
    <col min="1287" max="1287" width="7" customWidth="1"/>
    <col min="1288" max="1289" width="9" hidden="1" customWidth="1"/>
    <col min="1290" max="1290" width="8.88671875" customWidth="1"/>
    <col min="1291" max="1291" width="9.109375"/>
    <col min="1292" max="1301" width="9" hidden="1" customWidth="1"/>
    <col min="1302" max="1510" width="9.109375"/>
    <col min="1511" max="1511" width="3.5546875" customWidth="1"/>
    <col min="1512" max="1512" width="27.109375" customWidth="1"/>
    <col min="1513" max="1513" width="8.109375" customWidth="1"/>
    <col min="1514" max="1514" width="5" customWidth="1"/>
    <col min="1515" max="1515" width="6" customWidth="1"/>
    <col min="1516" max="1518" width="6.5546875" customWidth="1"/>
    <col min="1519" max="1520" width="7.5546875" customWidth="1"/>
    <col min="1521" max="1522" width="9" hidden="1" customWidth="1"/>
    <col min="1523" max="1523" width="7.109375" customWidth="1"/>
    <col min="1524" max="1524" width="7.5546875" customWidth="1"/>
    <col min="1525" max="1526" width="9" hidden="1" customWidth="1"/>
    <col min="1527" max="1527" width="0.109375" customWidth="1"/>
    <col min="1528" max="1528" width="9" hidden="1" customWidth="1"/>
    <col min="1529" max="1529" width="7.5546875" customWidth="1"/>
    <col min="1530" max="1530" width="7.6640625" customWidth="1"/>
    <col min="1531" max="1531" width="8.109375" customWidth="1"/>
    <col min="1532" max="1532" width="7.5546875" customWidth="1"/>
    <col min="1533" max="1534" width="9" hidden="1" customWidth="1"/>
    <col min="1535" max="1535" width="6.5546875" customWidth="1"/>
    <col min="1536" max="1536" width="7.33203125" customWidth="1"/>
    <col min="1537" max="1538" width="7.5546875" customWidth="1"/>
    <col min="1539" max="1540" width="9" hidden="1" customWidth="1"/>
    <col min="1541" max="1542" width="5.5546875" customWidth="1"/>
    <col min="1543" max="1543" width="7" customWidth="1"/>
    <col min="1544" max="1545" width="9" hidden="1" customWidth="1"/>
    <col min="1546" max="1546" width="8.88671875" customWidth="1"/>
    <col min="1547" max="1547" width="9.109375"/>
    <col min="1548" max="1557" width="9" hidden="1" customWidth="1"/>
    <col min="1558" max="1766" width="9.109375"/>
    <col min="1767" max="1767" width="3.5546875" customWidth="1"/>
    <col min="1768" max="1768" width="27.109375" customWidth="1"/>
    <col min="1769" max="1769" width="8.109375" customWidth="1"/>
    <col min="1770" max="1770" width="5" customWidth="1"/>
    <col min="1771" max="1771" width="6" customWidth="1"/>
    <col min="1772" max="1774" width="6.5546875" customWidth="1"/>
    <col min="1775" max="1776" width="7.5546875" customWidth="1"/>
    <col min="1777" max="1778" width="9" hidden="1" customWidth="1"/>
    <col min="1779" max="1779" width="7.109375" customWidth="1"/>
    <col min="1780" max="1780" width="7.5546875" customWidth="1"/>
    <col min="1781" max="1782" width="9" hidden="1" customWidth="1"/>
    <col min="1783" max="1783" width="0.109375" customWidth="1"/>
    <col min="1784" max="1784" width="9" hidden="1" customWidth="1"/>
    <col min="1785" max="1785" width="7.5546875" customWidth="1"/>
    <col min="1786" max="1786" width="7.6640625" customWidth="1"/>
    <col min="1787" max="1787" width="8.109375" customWidth="1"/>
    <col min="1788" max="1788" width="7.5546875" customWidth="1"/>
    <col min="1789" max="1790" width="9" hidden="1" customWidth="1"/>
    <col min="1791" max="1791" width="6.5546875" customWidth="1"/>
    <col min="1792" max="1792" width="7.33203125" customWidth="1"/>
    <col min="1793" max="1794" width="7.5546875" customWidth="1"/>
    <col min="1795" max="1796" width="9" hidden="1" customWidth="1"/>
    <col min="1797" max="1798" width="5.5546875" customWidth="1"/>
    <col min="1799" max="1799" width="7" customWidth="1"/>
    <col min="1800" max="1801" width="9" hidden="1" customWidth="1"/>
    <col min="1802" max="1802" width="8.88671875" customWidth="1"/>
    <col min="1803" max="1803" width="9.109375"/>
    <col min="1804" max="1813" width="9" hidden="1" customWidth="1"/>
    <col min="1814" max="2022" width="9.109375"/>
    <col min="2023" max="2023" width="3.5546875" customWidth="1"/>
    <col min="2024" max="2024" width="27.109375" customWidth="1"/>
    <col min="2025" max="2025" width="8.109375" customWidth="1"/>
    <col min="2026" max="2026" width="5" customWidth="1"/>
    <col min="2027" max="2027" width="6" customWidth="1"/>
    <col min="2028" max="2030" width="6.5546875" customWidth="1"/>
    <col min="2031" max="2032" width="7.5546875" customWidth="1"/>
    <col min="2033" max="2034" width="9" hidden="1" customWidth="1"/>
    <col min="2035" max="2035" width="7.109375" customWidth="1"/>
    <col min="2036" max="2036" width="7.5546875" customWidth="1"/>
    <col min="2037" max="2038" width="9" hidden="1" customWidth="1"/>
    <col min="2039" max="2039" width="0.109375" customWidth="1"/>
    <col min="2040" max="2040" width="9" hidden="1" customWidth="1"/>
    <col min="2041" max="2041" width="7.5546875" customWidth="1"/>
    <col min="2042" max="2042" width="7.6640625" customWidth="1"/>
    <col min="2043" max="2043" width="8.109375" customWidth="1"/>
    <col min="2044" max="2044" width="7.5546875" customWidth="1"/>
    <col min="2045" max="2046" width="9" hidden="1" customWidth="1"/>
    <col min="2047" max="2047" width="6.5546875" customWidth="1"/>
    <col min="2048" max="2048" width="7.33203125" customWidth="1"/>
    <col min="2049" max="2050" width="7.5546875" customWidth="1"/>
    <col min="2051" max="2052" width="9" hidden="1" customWidth="1"/>
    <col min="2053" max="2054" width="5.5546875" customWidth="1"/>
    <col min="2055" max="2055" width="7" customWidth="1"/>
    <col min="2056" max="2057" width="9" hidden="1" customWidth="1"/>
    <col min="2058" max="2058" width="8.88671875" customWidth="1"/>
    <col min="2059" max="2059" width="9.109375"/>
    <col min="2060" max="2069" width="9" hidden="1" customWidth="1"/>
    <col min="2070" max="2278" width="9.109375"/>
    <col min="2279" max="2279" width="3.5546875" customWidth="1"/>
    <col min="2280" max="2280" width="27.109375" customWidth="1"/>
    <col min="2281" max="2281" width="8.109375" customWidth="1"/>
    <col min="2282" max="2282" width="5" customWidth="1"/>
    <col min="2283" max="2283" width="6" customWidth="1"/>
    <col min="2284" max="2286" width="6.5546875" customWidth="1"/>
    <col min="2287" max="2288" width="7.5546875" customWidth="1"/>
    <col min="2289" max="2290" width="9" hidden="1" customWidth="1"/>
    <col min="2291" max="2291" width="7.109375" customWidth="1"/>
    <col min="2292" max="2292" width="7.5546875" customWidth="1"/>
    <col min="2293" max="2294" width="9" hidden="1" customWidth="1"/>
    <col min="2295" max="2295" width="0.109375" customWidth="1"/>
    <col min="2296" max="2296" width="9" hidden="1" customWidth="1"/>
    <col min="2297" max="2297" width="7.5546875" customWidth="1"/>
    <col min="2298" max="2298" width="7.6640625" customWidth="1"/>
    <col min="2299" max="2299" width="8.109375" customWidth="1"/>
    <col min="2300" max="2300" width="7.5546875" customWidth="1"/>
    <col min="2301" max="2302" width="9" hidden="1" customWidth="1"/>
    <col min="2303" max="2303" width="6.5546875" customWidth="1"/>
    <col min="2304" max="2304" width="7.33203125" customWidth="1"/>
    <col min="2305" max="2306" width="7.5546875" customWidth="1"/>
    <col min="2307" max="2308" width="9" hidden="1" customWidth="1"/>
    <col min="2309" max="2310" width="5.5546875" customWidth="1"/>
    <col min="2311" max="2311" width="7" customWidth="1"/>
    <col min="2312" max="2313" width="9" hidden="1" customWidth="1"/>
    <col min="2314" max="2314" width="8.88671875" customWidth="1"/>
    <col min="2315" max="2315" width="9.109375"/>
    <col min="2316" max="2325" width="9" hidden="1" customWidth="1"/>
    <col min="2326" max="2534" width="9.109375"/>
    <col min="2535" max="2535" width="3.5546875" customWidth="1"/>
    <col min="2536" max="2536" width="27.109375" customWidth="1"/>
    <col min="2537" max="2537" width="8.109375" customWidth="1"/>
    <col min="2538" max="2538" width="5" customWidth="1"/>
    <col min="2539" max="2539" width="6" customWidth="1"/>
    <col min="2540" max="2542" width="6.5546875" customWidth="1"/>
    <col min="2543" max="2544" width="7.5546875" customWidth="1"/>
    <col min="2545" max="2546" width="9" hidden="1" customWidth="1"/>
    <col min="2547" max="2547" width="7.109375" customWidth="1"/>
    <col min="2548" max="2548" width="7.5546875" customWidth="1"/>
    <col min="2549" max="2550" width="9" hidden="1" customWidth="1"/>
    <col min="2551" max="2551" width="0.109375" customWidth="1"/>
    <col min="2552" max="2552" width="9" hidden="1" customWidth="1"/>
    <col min="2553" max="2553" width="7.5546875" customWidth="1"/>
    <col min="2554" max="2554" width="7.6640625" customWidth="1"/>
    <col min="2555" max="2555" width="8.109375" customWidth="1"/>
    <col min="2556" max="2556" width="7.5546875" customWidth="1"/>
    <col min="2557" max="2558" width="9" hidden="1" customWidth="1"/>
    <col min="2559" max="2559" width="6.5546875" customWidth="1"/>
    <col min="2560" max="2560" width="7.33203125" customWidth="1"/>
    <col min="2561" max="2562" width="7.5546875" customWidth="1"/>
    <col min="2563" max="2564" width="9" hidden="1" customWidth="1"/>
    <col min="2565" max="2566" width="5.5546875" customWidth="1"/>
    <col min="2567" max="2567" width="7" customWidth="1"/>
    <col min="2568" max="2569" width="9" hidden="1" customWidth="1"/>
    <col min="2570" max="2570" width="8.88671875" customWidth="1"/>
    <col min="2571" max="2571" width="9.109375"/>
    <col min="2572" max="2581" width="9" hidden="1" customWidth="1"/>
    <col min="2582" max="2790" width="9.109375"/>
    <col min="2791" max="2791" width="3.5546875" customWidth="1"/>
    <col min="2792" max="2792" width="27.109375" customWidth="1"/>
    <col min="2793" max="2793" width="8.109375" customWidth="1"/>
    <col min="2794" max="2794" width="5" customWidth="1"/>
    <col min="2795" max="2795" width="6" customWidth="1"/>
    <col min="2796" max="2798" width="6.5546875" customWidth="1"/>
    <col min="2799" max="2800" width="7.5546875" customWidth="1"/>
    <col min="2801" max="2802" width="9" hidden="1" customWidth="1"/>
    <col min="2803" max="2803" width="7.109375" customWidth="1"/>
    <col min="2804" max="2804" width="7.5546875" customWidth="1"/>
    <col min="2805" max="2806" width="9" hidden="1" customWidth="1"/>
    <col min="2807" max="2807" width="0.109375" customWidth="1"/>
    <col min="2808" max="2808" width="9" hidden="1" customWidth="1"/>
    <col min="2809" max="2809" width="7.5546875" customWidth="1"/>
    <col min="2810" max="2810" width="7.6640625" customWidth="1"/>
    <col min="2811" max="2811" width="8.109375" customWidth="1"/>
    <col min="2812" max="2812" width="7.5546875" customWidth="1"/>
    <col min="2813" max="2814" width="9" hidden="1" customWidth="1"/>
    <col min="2815" max="2815" width="6.5546875" customWidth="1"/>
    <col min="2816" max="2816" width="7.33203125" customWidth="1"/>
    <col min="2817" max="2818" width="7.5546875" customWidth="1"/>
    <col min="2819" max="2820" width="9" hidden="1" customWidth="1"/>
    <col min="2821" max="2822" width="5.5546875" customWidth="1"/>
    <col min="2823" max="2823" width="7" customWidth="1"/>
    <col min="2824" max="2825" width="9" hidden="1" customWidth="1"/>
    <col min="2826" max="2826" width="8.88671875" customWidth="1"/>
    <col min="2827" max="2827" width="9.109375"/>
    <col min="2828" max="2837" width="9" hidden="1" customWidth="1"/>
    <col min="2838" max="3046" width="9.109375"/>
    <col min="3047" max="3047" width="3.5546875" customWidth="1"/>
    <col min="3048" max="3048" width="27.109375" customWidth="1"/>
    <col min="3049" max="3049" width="8.109375" customWidth="1"/>
    <col min="3050" max="3050" width="5" customWidth="1"/>
    <col min="3051" max="3051" width="6" customWidth="1"/>
    <col min="3052" max="3054" width="6.5546875" customWidth="1"/>
    <col min="3055" max="3056" width="7.5546875" customWidth="1"/>
    <col min="3057" max="3058" width="9" hidden="1" customWidth="1"/>
    <col min="3059" max="3059" width="7.109375" customWidth="1"/>
    <col min="3060" max="3060" width="7.5546875" customWidth="1"/>
    <col min="3061" max="3062" width="9" hidden="1" customWidth="1"/>
    <col min="3063" max="3063" width="0.109375" customWidth="1"/>
    <col min="3064" max="3064" width="9" hidden="1" customWidth="1"/>
    <col min="3065" max="3065" width="7.5546875" customWidth="1"/>
    <col min="3066" max="3066" width="7.6640625" customWidth="1"/>
    <col min="3067" max="3067" width="8.109375" customWidth="1"/>
    <col min="3068" max="3068" width="7.5546875" customWidth="1"/>
    <col min="3069" max="3070" width="9" hidden="1" customWidth="1"/>
    <col min="3071" max="3071" width="6.5546875" customWidth="1"/>
    <col min="3072" max="3072" width="7.33203125" customWidth="1"/>
    <col min="3073" max="3074" width="7.5546875" customWidth="1"/>
    <col min="3075" max="3076" width="9" hidden="1" customWidth="1"/>
    <col min="3077" max="3078" width="5.5546875" customWidth="1"/>
    <col min="3079" max="3079" width="7" customWidth="1"/>
    <col min="3080" max="3081" width="9" hidden="1" customWidth="1"/>
    <col min="3082" max="3082" width="8.88671875" customWidth="1"/>
    <col min="3083" max="3083" width="9.109375"/>
    <col min="3084" max="3093" width="9" hidden="1" customWidth="1"/>
    <col min="3094" max="3302" width="9.109375"/>
    <col min="3303" max="3303" width="3.5546875" customWidth="1"/>
    <col min="3304" max="3304" width="27.109375" customWidth="1"/>
    <col min="3305" max="3305" width="8.109375" customWidth="1"/>
    <col min="3306" max="3306" width="5" customWidth="1"/>
    <col min="3307" max="3307" width="6" customWidth="1"/>
    <col min="3308" max="3310" width="6.5546875" customWidth="1"/>
    <col min="3311" max="3312" width="7.5546875" customWidth="1"/>
    <col min="3313" max="3314" width="9" hidden="1" customWidth="1"/>
    <col min="3315" max="3315" width="7.109375" customWidth="1"/>
    <col min="3316" max="3316" width="7.5546875" customWidth="1"/>
    <col min="3317" max="3318" width="9" hidden="1" customWidth="1"/>
    <col min="3319" max="3319" width="0.109375" customWidth="1"/>
    <col min="3320" max="3320" width="9" hidden="1" customWidth="1"/>
    <col min="3321" max="3321" width="7.5546875" customWidth="1"/>
    <col min="3322" max="3322" width="7.6640625" customWidth="1"/>
    <col min="3323" max="3323" width="8.109375" customWidth="1"/>
    <col min="3324" max="3324" width="7.5546875" customWidth="1"/>
    <col min="3325" max="3326" width="9" hidden="1" customWidth="1"/>
    <col min="3327" max="3327" width="6.5546875" customWidth="1"/>
    <col min="3328" max="3328" width="7.33203125" customWidth="1"/>
    <col min="3329" max="3330" width="7.5546875" customWidth="1"/>
    <col min="3331" max="3332" width="9" hidden="1" customWidth="1"/>
    <col min="3333" max="3334" width="5.5546875" customWidth="1"/>
    <col min="3335" max="3335" width="7" customWidth="1"/>
    <col min="3336" max="3337" width="9" hidden="1" customWidth="1"/>
    <col min="3338" max="3338" width="8.88671875" customWidth="1"/>
    <col min="3339" max="3339" width="9.109375"/>
    <col min="3340" max="3349" width="9" hidden="1" customWidth="1"/>
    <col min="3350" max="3558" width="9.109375"/>
    <col min="3559" max="3559" width="3.5546875" customWidth="1"/>
    <col min="3560" max="3560" width="27.109375" customWidth="1"/>
    <col min="3561" max="3561" width="8.109375" customWidth="1"/>
    <col min="3562" max="3562" width="5" customWidth="1"/>
    <col min="3563" max="3563" width="6" customWidth="1"/>
    <col min="3564" max="3566" width="6.5546875" customWidth="1"/>
    <col min="3567" max="3568" width="7.5546875" customWidth="1"/>
    <col min="3569" max="3570" width="9" hidden="1" customWidth="1"/>
    <col min="3571" max="3571" width="7.109375" customWidth="1"/>
    <col min="3572" max="3572" width="7.5546875" customWidth="1"/>
    <col min="3573" max="3574" width="9" hidden="1" customWidth="1"/>
    <col min="3575" max="3575" width="0.109375" customWidth="1"/>
    <col min="3576" max="3576" width="9" hidden="1" customWidth="1"/>
    <col min="3577" max="3577" width="7.5546875" customWidth="1"/>
    <col min="3578" max="3578" width="7.6640625" customWidth="1"/>
    <col min="3579" max="3579" width="8.109375" customWidth="1"/>
    <col min="3580" max="3580" width="7.5546875" customWidth="1"/>
    <col min="3581" max="3582" width="9" hidden="1" customWidth="1"/>
    <col min="3583" max="3583" width="6.5546875" customWidth="1"/>
    <col min="3584" max="3584" width="7.33203125" customWidth="1"/>
    <col min="3585" max="3586" width="7.5546875" customWidth="1"/>
    <col min="3587" max="3588" width="9" hidden="1" customWidth="1"/>
    <col min="3589" max="3590" width="5.5546875" customWidth="1"/>
    <col min="3591" max="3591" width="7" customWidth="1"/>
    <col min="3592" max="3593" width="9" hidden="1" customWidth="1"/>
    <col min="3594" max="3594" width="8.88671875" customWidth="1"/>
    <col min="3595" max="3595" width="9.109375"/>
    <col min="3596" max="3605" width="9" hidden="1" customWidth="1"/>
    <col min="3606" max="3814" width="9.109375"/>
    <col min="3815" max="3815" width="3.5546875" customWidth="1"/>
    <col min="3816" max="3816" width="27.109375" customWidth="1"/>
    <col min="3817" max="3817" width="8.109375" customWidth="1"/>
    <col min="3818" max="3818" width="5" customWidth="1"/>
    <col min="3819" max="3819" width="6" customWidth="1"/>
    <col min="3820" max="3822" width="6.5546875" customWidth="1"/>
    <col min="3823" max="3824" width="7.5546875" customWidth="1"/>
    <col min="3825" max="3826" width="9" hidden="1" customWidth="1"/>
    <col min="3827" max="3827" width="7.109375" customWidth="1"/>
    <col min="3828" max="3828" width="7.5546875" customWidth="1"/>
    <col min="3829" max="3830" width="9" hidden="1" customWidth="1"/>
    <col min="3831" max="3831" width="0.109375" customWidth="1"/>
    <col min="3832" max="3832" width="9" hidden="1" customWidth="1"/>
    <col min="3833" max="3833" width="7.5546875" customWidth="1"/>
    <col min="3834" max="3834" width="7.6640625" customWidth="1"/>
    <col min="3835" max="3835" width="8.109375" customWidth="1"/>
    <col min="3836" max="3836" width="7.5546875" customWidth="1"/>
    <col min="3837" max="3838" width="9" hidden="1" customWidth="1"/>
    <col min="3839" max="3839" width="6.5546875" customWidth="1"/>
    <col min="3840" max="3840" width="7.33203125" customWidth="1"/>
    <col min="3841" max="3842" width="7.5546875" customWidth="1"/>
    <col min="3843" max="3844" width="9" hidden="1" customWidth="1"/>
    <col min="3845" max="3846" width="5.5546875" customWidth="1"/>
    <col min="3847" max="3847" width="7" customWidth="1"/>
    <col min="3848" max="3849" width="9" hidden="1" customWidth="1"/>
    <col min="3850" max="3850" width="8.88671875" customWidth="1"/>
    <col min="3851" max="3851" width="9.109375"/>
    <col min="3852" max="3861" width="9" hidden="1" customWidth="1"/>
    <col min="3862" max="4070" width="9.109375"/>
    <col min="4071" max="4071" width="3.5546875" customWidth="1"/>
    <col min="4072" max="4072" width="27.109375" customWidth="1"/>
    <col min="4073" max="4073" width="8.109375" customWidth="1"/>
    <col min="4074" max="4074" width="5" customWidth="1"/>
    <col min="4075" max="4075" width="6" customWidth="1"/>
    <col min="4076" max="4078" width="6.5546875" customWidth="1"/>
    <col min="4079" max="4080" width="7.5546875" customWidth="1"/>
    <col min="4081" max="4082" width="9" hidden="1" customWidth="1"/>
    <col min="4083" max="4083" width="7.109375" customWidth="1"/>
    <col min="4084" max="4084" width="7.5546875" customWidth="1"/>
    <col min="4085" max="4086" width="9" hidden="1" customWidth="1"/>
    <col min="4087" max="4087" width="0.109375" customWidth="1"/>
    <col min="4088" max="4088" width="9" hidden="1" customWidth="1"/>
    <col min="4089" max="4089" width="7.5546875" customWidth="1"/>
    <col min="4090" max="4090" width="7.6640625" customWidth="1"/>
    <col min="4091" max="4091" width="8.109375" customWidth="1"/>
    <col min="4092" max="4092" width="7.5546875" customWidth="1"/>
    <col min="4093" max="4094" width="9" hidden="1" customWidth="1"/>
    <col min="4095" max="4095" width="6.5546875" customWidth="1"/>
    <col min="4096" max="4096" width="7.33203125" customWidth="1"/>
    <col min="4097" max="4098" width="7.5546875" customWidth="1"/>
    <col min="4099" max="4100" width="9" hidden="1" customWidth="1"/>
    <col min="4101" max="4102" width="5.5546875" customWidth="1"/>
    <col min="4103" max="4103" width="7" customWidth="1"/>
    <col min="4104" max="4105" width="9" hidden="1" customWidth="1"/>
    <col min="4106" max="4106" width="8.88671875" customWidth="1"/>
    <col min="4107" max="4107" width="9.109375"/>
    <col min="4108" max="4117" width="9" hidden="1" customWidth="1"/>
    <col min="4118" max="4326" width="9.109375"/>
    <col min="4327" max="4327" width="3.5546875" customWidth="1"/>
    <col min="4328" max="4328" width="27.109375" customWidth="1"/>
    <col min="4329" max="4329" width="8.109375" customWidth="1"/>
    <col min="4330" max="4330" width="5" customWidth="1"/>
    <col min="4331" max="4331" width="6" customWidth="1"/>
    <col min="4332" max="4334" width="6.5546875" customWidth="1"/>
    <col min="4335" max="4336" width="7.5546875" customWidth="1"/>
    <col min="4337" max="4338" width="9" hidden="1" customWidth="1"/>
    <col min="4339" max="4339" width="7.109375" customWidth="1"/>
    <col min="4340" max="4340" width="7.5546875" customWidth="1"/>
    <col min="4341" max="4342" width="9" hidden="1" customWidth="1"/>
    <col min="4343" max="4343" width="0.109375" customWidth="1"/>
    <col min="4344" max="4344" width="9" hidden="1" customWidth="1"/>
    <col min="4345" max="4345" width="7.5546875" customWidth="1"/>
    <col min="4346" max="4346" width="7.6640625" customWidth="1"/>
    <col min="4347" max="4347" width="8.109375" customWidth="1"/>
    <col min="4348" max="4348" width="7.5546875" customWidth="1"/>
    <col min="4349" max="4350" width="9" hidden="1" customWidth="1"/>
    <col min="4351" max="4351" width="6.5546875" customWidth="1"/>
    <col min="4352" max="4352" width="7.33203125" customWidth="1"/>
    <col min="4353" max="4354" width="7.5546875" customWidth="1"/>
    <col min="4355" max="4356" width="9" hidden="1" customWidth="1"/>
    <col min="4357" max="4358" width="5.5546875" customWidth="1"/>
    <col min="4359" max="4359" width="7" customWidth="1"/>
    <col min="4360" max="4361" width="9" hidden="1" customWidth="1"/>
    <col min="4362" max="4362" width="8.88671875" customWidth="1"/>
    <col min="4363" max="4363" width="9.109375"/>
    <col min="4364" max="4373" width="9" hidden="1" customWidth="1"/>
    <col min="4374" max="4582" width="9.109375"/>
    <col min="4583" max="4583" width="3.5546875" customWidth="1"/>
    <col min="4584" max="4584" width="27.109375" customWidth="1"/>
    <col min="4585" max="4585" width="8.109375" customWidth="1"/>
    <col min="4586" max="4586" width="5" customWidth="1"/>
    <col min="4587" max="4587" width="6" customWidth="1"/>
    <col min="4588" max="4590" width="6.5546875" customWidth="1"/>
    <col min="4591" max="4592" width="7.5546875" customWidth="1"/>
    <col min="4593" max="4594" width="9" hidden="1" customWidth="1"/>
    <col min="4595" max="4595" width="7.109375" customWidth="1"/>
    <col min="4596" max="4596" width="7.5546875" customWidth="1"/>
    <col min="4597" max="4598" width="9" hidden="1" customWidth="1"/>
    <col min="4599" max="4599" width="0.109375" customWidth="1"/>
    <col min="4600" max="4600" width="9" hidden="1" customWidth="1"/>
    <col min="4601" max="4601" width="7.5546875" customWidth="1"/>
    <col min="4602" max="4602" width="7.6640625" customWidth="1"/>
    <col min="4603" max="4603" width="8.109375" customWidth="1"/>
    <col min="4604" max="4604" width="7.5546875" customWidth="1"/>
    <col min="4605" max="4606" width="9" hidden="1" customWidth="1"/>
    <col min="4607" max="4607" width="6.5546875" customWidth="1"/>
    <col min="4608" max="4608" width="7.33203125" customWidth="1"/>
    <col min="4609" max="4610" width="7.5546875" customWidth="1"/>
    <col min="4611" max="4612" width="9" hidden="1" customWidth="1"/>
    <col min="4613" max="4614" width="5.5546875" customWidth="1"/>
    <col min="4615" max="4615" width="7" customWidth="1"/>
    <col min="4616" max="4617" width="9" hidden="1" customWidth="1"/>
    <col min="4618" max="4618" width="8.88671875" customWidth="1"/>
    <col min="4619" max="4619" width="9.109375"/>
    <col min="4620" max="4629" width="9" hidden="1" customWidth="1"/>
    <col min="4630" max="4838" width="9.109375"/>
    <col min="4839" max="4839" width="3.5546875" customWidth="1"/>
    <col min="4840" max="4840" width="27.109375" customWidth="1"/>
    <col min="4841" max="4841" width="8.109375" customWidth="1"/>
    <col min="4842" max="4842" width="5" customWidth="1"/>
    <col min="4843" max="4843" width="6" customWidth="1"/>
    <col min="4844" max="4846" width="6.5546875" customWidth="1"/>
    <col min="4847" max="4848" width="7.5546875" customWidth="1"/>
    <col min="4849" max="4850" width="9" hidden="1" customWidth="1"/>
    <col min="4851" max="4851" width="7.109375" customWidth="1"/>
    <col min="4852" max="4852" width="7.5546875" customWidth="1"/>
    <col min="4853" max="4854" width="9" hidden="1" customWidth="1"/>
    <col min="4855" max="4855" width="0.109375" customWidth="1"/>
    <col min="4856" max="4856" width="9" hidden="1" customWidth="1"/>
    <col min="4857" max="4857" width="7.5546875" customWidth="1"/>
    <col min="4858" max="4858" width="7.6640625" customWidth="1"/>
    <col min="4859" max="4859" width="8.109375" customWidth="1"/>
    <col min="4860" max="4860" width="7.5546875" customWidth="1"/>
    <col min="4861" max="4862" width="9" hidden="1" customWidth="1"/>
    <col min="4863" max="4863" width="6.5546875" customWidth="1"/>
    <col min="4864" max="4864" width="7.33203125" customWidth="1"/>
    <col min="4865" max="4866" width="7.5546875" customWidth="1"/>
    <col min="4867" max="4868" width="9" hidden="1" customWidth="1"/>
    <col min="4869" max="4870" width="5.5546875" customWidth="1"/>
    <col min="4871" max="4871" width="7" customWidth="1"/>
    <col min="4872" max="4873" width="9" hidden="1" customWidth="1"/>
    <col min="4874" max="4874" width="8.88671875" customWidth="1"/>
    <col min="4875" max="4875" width="9.109375"/>
    <col min="4876" max="4885" width="9" hidden="1" customWidth="1"/>
    <col min="4886" max="5094" width="9.109375"/>
    <col min="5095" max="5095" width="3.5546875" customWidth="1"/>
    <col min="5096" max="5096" width="27.109375" customWidth="1"/>
    <col min="5097" max="5097" width="8.109375" customWidth="1"/>
    <col min="5098" max="5098" width="5" customWidth="1"/>
    <col min="5099" max="5099" width="6" customWidth="1"/>
    <col min="5100" max="5102" width="6.5546875" customWidth="1"/>
    <col min="5103" max="5104" width="7.5546875" customWidth="1"/>
    <col min="5105" max="5106" width="9" hidden="1" customWidth="1"/>
    <col min="5107" max="5107" width="7.109375" customWidth="1"/>
    <col min="5108" max="5108" width="7.5546875" customWidth="1"/>
    <col min="5109" max="5110" width="9" hidden="1" customWidth="1"/>
    <col min="5111" max="5111" width="0.109375" customWidth="1"/>
    <col min="5112" max="5112" width="9" hidden="1" customWidth="1"/>
    <col min="5113" max="5113" width="7.5546875" customWidth="1"/>
    <col min="5114" max="5114" width="7.6640625" customWidth="1"/>
    <col min="5115" max="5115" width="8.109375" customWidth="1"/>
    <col min="5116" max="5116" width="7.5546875" customWidth="1"/>
    <col min="5117" max="5118" width="9" hidden="1" customWidth="1"/>
    <col min="5119" max="5119" width="6.5546875" customWidth="1"/>
    <col min="5120" max="5120" width="7.33203125" customWidth="1"/>
    <col min="5121" max="5122" width="7.5546875" customWidth="1"/>
    <col min="5123" max="5124" width="9" hidden="1" customWidth="1"/>
    <col min="5125" max="5126" width="5.5546875" customWidth="1"/>
    <col min="5127" max="5127" width="7" customWidth="1"/>
    <col min="5128" max="5129" width="9" hidden="1" customWidth="1"/>
    <col min="5130" max="5130" width="8.88671875" customWidth="1"/>
    <col min="5131" max="5131" width="9.109375"/>
    <col min="5132" max="5141" width="9" hidden="1" customWidth="1"/>
    <col min="5142" max="5350" width="9.109375"/>
    <col min="5351" max="5351" width="3.5546875" customWidth="1"/>
    <col min="5352" max="5352" width="27.109375" customWidth="1"/>
    <col min="5353" max="5353" width="8.109375" customWidth="1"/>
    <col min="5354" max="5354" width="5" customWidth="1"/>
    <col min="5355" max="5355" width="6" customWidth="1"/>
    <col min="5356" max="5358" width="6.5546875" customWidth="1"/>
    <col min="5359" max="5360" width="7.5546875" customWidth="1"/>
    <col min="5361" max="5362" width="9" hidden="1" customWidth="1"/>
    <col min="5363" max="5363" width="7.109375" customWidth="1"/>
    <col min="5364" max="5364" width="7.5546875" customWidth="1"/>
    <col min="5365" max="5366" width="9" hidden="1" customWidth="1"/>
    <col min="5367" max="5367" width="0.109375" customWidth="1"/>
    <col min="5368" max="5368" width="9" hidden="1" customWidth="1"/>
    <col min="5369" max="5369" width="7.5546875" customWidth="1"/>
    <col min="5370" max="5370" width="7.6640625" customWidth="1"/>
    <col min="5371" max="5371" width="8.109375" customWidth="1"/>
    <col min="5372" max="5372" width="7.5546875" customWidth="1"/>
    <col min="5373" max="5374" width="9" hidden="1" customWidth="1"/>
    <col min="5375" max="5375" width="6.5546875" customWidth="1"/>
    <col min="5376" max="5376" width="7.33203125" customWidth="1"/>
    <col min="5377" max="5378" width="7.5546875" customWidth="1"/>
    <col min="5379" max="5380" width="9" hidden="1" customWidth="1"/>
    <col min="5381" max="5382" width="5.5546875" customWidth="1"/>
    <col min="5383" max="5383" width="7" customWidth="1"/>
    <col min="5384" max="5385" width="9" hidden="1" customWidth="1"/>
    <col min="5386" max="5386" width="8.88671875" customWidth="1"/>
    <col min="5387" max="5387" width="9.109375"/>
    <col min="5388" max="5397" width="9" hidden="1" customWidth="1"/>
    <col min="5398" max="5606" width="9.109375"/>
    <col min="5607" max="5607" width="3.5546875" customWidth="1"/>
    <col min="5608" max="5608" width="27.109375" customWidth="1"/>
    <col min="5609" max="5609" width="8.109375" customWidth="1"/>
    <col min="5610" max="5610" width="5" customWidth="1"/>
    <col min="5611" max="5611" width="6" customWidth="1"/>
    <col min="5612" max="5614" width="6.5546875" customWidth="1"/>
    <col min="5615" max="5616" width="7.5546875" customWidth="1"/>
    <col min="5617" max="5618" width="9" hidden="1" customWidth="1"/>
    <col min="5619" max="5619" width="7.109375" customWidth="1"/>
    <col min="5620" max="5620" width="7.5546875" customWidth="1"/>
    <col min="5621" max="5622" width="9" hidden="1" customWidth="1"/>
    <col min="5623" max="5623" width="0.109375" customWidth="1"/>
    <col min="5624" max="5624" width="9" hidden="1" customWidth="1"/>
    <col min="5625" max="5625" width="7.5546875" customWidth="1"/>
    <col min="5626" max="5626" width="7.6640625" customWidth="1"/>
    <col min="5627" max="5627" width="8.109375" customWidth="1"/>
    <col min="5628" max="5628" width="7.5546875" customWidth="1"/>
    <col min="5629" max="5630" width="9" hidden="1" customWidth="1"/>
    <col min="5631" max="5631" width="6.5546875" customWidth="1"/>
    <col min="5632" max="5632" width="7.33203125" customWidth="1"/>
    <col min="5633" max="5634" width="7.5546875" customWidth="1"/>
    <col min="5635" max="5636" width="9" hidden="1" customWidth="1"/>
    <col min="5637" max="5638" width="5.5546875" customWidth="1"/>
    <col min="5639" max="5639" width="7" customWidth="1"/>
    <col min="5640" max="5641" width="9" hidden="1" customWidth="1"/>
    <col min="5642" max="5642" width="8.88671875" customWidth="1"/>
    <col min="5643" max="5643" width="9.109375"/>
    <col min="5644" max="5653" width="9" hidden="1" customWidth="1"/>
    <col min="5654" max="5862" width="9.109375"/>
    <col min="5863" max="5863" width="3.5546875" customWidth="1"/>
    <col min="5864" max="5864" width="27.109375" customWidth="1"/>
    <col min="5865" max="5865" width="8.109375" customWidth="1"/>
    <col min="5866" max="5866" width="5" customWidth="1"/>
    <col min="5867" max="5867" width="6" customWidth="1"/>
    <col min="5868" max="5870" width="6.5546875" customWidth="1"/>
    <col min="5871" max="5872" width="7.5546875" customWidth="1"/>
    <col min="5873" max="5874" width="9" hidden="1" customWidth="1"/>
    <col min="5875" max="5875" width="7.109375" customWidth="1"/>
    <col min="5876" max="5876" width="7.5546875" customWidth="1"/>
    <col min="5877" max="5878" width="9" hidden="1" customWidth="1"/>
    <col min="5879" max="5879" width="0.109375" customWidth="1"/>
    <col min="5880" max="5880" width="9" hidden="1" customWidth="1"/>
    <col min="5881" max="5881" width="7.5546875" customWidth="1"/>
    <col min="5882" max="5882" width="7.6640625" customWidth="1"/>
    <col min="5883" max="5883" width="8.109375" customWidth="1"/>
    <col min="5884" max="5884" width="7.5546875" customWidth="1"/>
    <col min="5885" max="5886" width="9" hidden="1" customWidth="1"/>
    <col min="5887" max="5887" width="6.5546875" customWidth="1"/>
    <col min="5888" max="5888" width="7.33203125" customWidth="1"/>
    <col min="5889" max="5890" width="7.5546875" customWidth="1"/>
    <col min="5891" max="5892" width="9" hidden="1" customWidth="1"/>
    <col min="5893" max="5894" width="5.5546875" customWidth="1"/>
    <col min="5895" max="5895" width="7" customWidth="1"/>
    <col min="5896" max="5897" width="9" hidden="1" customWidth="1"/>
    <col min="5898" max="5898" width="8.88671875" customWidth="1"/>
    <col min="5899" max="5899" width="9.109375"/>
    <col min="5900" max="5909" width="9" hidden="1" customWidth="1"/>
    <col min="5910" max="6118" width="9.109375"/>
    <col min="6119" max="6119" width="3.5546875" customWidth="1"/>
    <col min="6120" max="6120" width="27.109375" customWidth="1"/>
    <col min="6121" max="6121" width="8.109375" customWidth="1"/>
    <col min="6122" max="6122" width="5" customWidth="1"/>
    <col min="6123" max="6123" width="6" customWidth="1"/>
    <col min="6124" max="6126" width="6.5546875" customWidth="1"/>
    <col min="6127" max="6128" width="7.5546875" customWidth="1"/>
    <col min="6129" max="6130" width="9" hidden="1" customWidth="1"/>
    <col min="6131" max="6131" width="7.109375" customWidth="1"/>
    <col min="6132" max="6132" width="7.5546875" customWidth="1"/>
    <col min="6133" max="6134" width="9" hidden="1" customWidth="1"/>
    <col min="6135" max="6135" width="0.109375" customWidth="1"/>
    <col min="6136" max="6136" width="9" hidden="1" customWidth="1"/>
    <col min="6137" max="6137" width="7.5546875" customWidth="1"/>
    <col min="6138" max="6138" width="7.6640625" customWidth="1"/>
    <col min="6139" max="6139" width="8.109375" customWidth="1"/>
    <col min="6140" max="6140" width="7.5546875" customWidth="1"/>
    <col min="6141" max="6142" width="9" hidden="1" customWidth="1"/>
    <col min="6143" max="6143" width="6.5546875" customWidth="1"/>
    <col min="6144" max="6144" width="7.33203125" customWidth="1"/>
    <col min="6145" max="6146" width="7.5546875" customWidth="1"/>
    <col min="6147" max="6148" width="9" hidden="1" customWidth="1"/>
    <col min="6149" max="6150" width="5.5546875" customWidth="1"/>
    <col min="6151" max="6151" width="7" customWidth="1"/>
    <col min="6152" max="6153" width="9" hidden="1" customWidth="1"/>
    <col min="6154" max="6154" width="8.88671875" customWidth="1"/>
    <col min="6155" max="6155" width="9.109375"/>
    <col min="6156" max="6165" width="9" hidden="1" customWidth="1"/>
    <col min="6166" max="6374" width="9.109375"/>
    <col min="6375" max="6375" width="3.5546875" customWidth="1"/>
    <col min="6376" max="6376" width="27.109375" customWidth="1"/>
    <col min="6377" max="6377" width="8.109375" customWidth="1"/>
    <col min="6378" max="6378" width="5" customWidth="1"/>
    <col min="6379" max="6379" width="6" customWidth="1"/>
    <col min="6380" max="6382" width="6.5546875" customWidth="1"/>
    <col min="6383" max="6384" width="7.5546875" customWidth="1"/>
    <col min="6385" max="6386" width="9" hidden="1" customWidth="1"/>
    <col min="6387" max="6387" width="7.109375" customWidth="1"/>
    <col min="6388" max="6388" width="7.5546875" customWidth="1"/>
    <col min="6389" max="6390" width="9" hidden="1" customWidth="1"/>
    <col min="6391" max="6391" width="0.109375" customWidth="1"/>
    <col min="6392" max="6392" width="9" hidden="1" customWidth="1"/>
    <col min="6393" max="6393" width="7.5546875" customWidth="1"/>
    <col min="6394" max="6394" width="7.6640625" customWidth="1"/>
    <col min="6395" max="6395" width="8.109375" customWidth="1"/>
    <col min="6396" max="6396" width="7.5546875" customWidth="1"/>
    <col min="6397" max="6398" width="9" hidden="1" customWidth="1"/>
    <col min="6399" max="6399" width="6.5546875" customWidth="1"/>
    <col min="6400" max="6400" width="7.33203125" customWidth="1"/>
    <col min="6401" max="6402" width="7.5546875" customWidth="1"/>
    <col min="6403" max="6404" width="9" hidden="1" customWidth="1"/>
    <col min="6405" max="6406" width="5.5546875" customWidth="1"/>
    <col min="6407" max="6407" width="7" customWidth="1"/>
    <col min="6408" max="6409" width="9" hidden="1" customWidth="1"/>
    <col min="6410" max="6410" width="8.88671875" customWidth="1"/>
    <col min="6411" max="6411" width="9.109375"/>
    <col min="6412" max="6421" width="9" hidden="1" customWidth="1"/>
    <col min="6422" max="6630" width="9.109375"/>
    <col min="6631" max="6631" width="3.5546875" customWidth="1"/>
    <col min="6632" max="6632" width="27.109375" customWidth="1"/>
    <col min="6633" max="6633" width="8.109375" customWidth="1"/>
    <col min="6634" max="6634" width="5" customWidth="1"/>
    <col min="6635" max="6635" width="6" customWidth="1"/>
    <col min="6636" max="6638" width="6.5546875" customWidth="1"/>
    <col min="6639" max="6640" width="7.5546875" customWidth="1"/>
    <col min="6641" max="6642" width="9" hidden="1" customWidth="1"/>
    <col min="6643" max="6643" width="7.109375" customWidth="1"/>
    <col min="6644" max="6644" width="7.5546875" customWidth="1"/>
    <col min="6645" max="6646" width="9" hidden="1" customWidth="1"/>
    <col min="6647" max="6647" width="0.109375" customWidth="1"/>
    <col min="6648" max="6648" width="9" hidden="1" customWidth="1"/>
    <col min="6649" max="6649" width="7.5546875" customWidth="1"/>
    <col min="6650" max="6650" width="7.6640625" customWidth="1"/>
    <col min="6651" max="6651" width="8.109375" customWidth="1"/>
    <col min="6652" max="6652" width="7.5546875" customWidth="1"/>
    <col min="6653" max="6654" width="9" hidden="1" customWidth="1"/>
    <col min="6655" max="6655" width="6.5546875" customWidth="1"/>
    <col min="6656" max="6656" width="7.33203125" customWidth="1"/>
    <col min="6657" max="6658" width="7.5546875" customWidth="1"/>
    <col min="6659" max="6660" width="9" hidden="1" customWidth="1"/>
    <col min="6661" max="6662" width="5.5546875" customWidth="1"/>
    <col min="6663" max="6663" width="7" customWidth="1"/>
    <col min="6664" max="6665" width="9" hidden="1" customWidth="1"/>
    <col min="6666" max="6666" width="8.88671875" customWidth="1"/>
    <col min="6667" max="6667" width="9.109375"/>
    <col min="6668" max="6677" width="9" hidden="1" customWidth="1"/>
    <col min="6678" max="6886" width="9.109375"/>
    <col min="6887" max="6887" width="3.5546875" customWidth="1"/>
    <col min="6888" max="6888" width="27.109375" customWidth="1"/>
    <col min="6889" max="6889" width="8.109375" customWidth="1"/>
    <col min="6890" max="6890" width="5" customWidth="1"/>
    <col min="6891" max="6891" width="6" customWidth="1"/>
    <col min="6892" max="6894" width="6.5546875" customWidth="1"/>
    <col min="6895" max="6896" width="7.5546875" customWidth="1"/>
    <col min="6897" max="6898" width="9" hidden="1" customWidth="1"/>
    <col min="6899" max="6899" width="7.109375" customWidth="1"/>
    <col min="6900" max="6900" width="7.5546875" customWidth="1"/>
    <col min="6901" max="6902" width="9" hidden="1" customWidth="1"/>
    <col min="6903" max="6903" width="0.109375" customWidth="1"/>
    <col min="6904" max="6904" width="9" hidden="1" customWidth="1"/>
    <col min="6905" max="6905" width="7.5546875" customWidth="1"/>
    <col min="6906" max="6906" width="7.6640625" customWidth="1"/>
    <col min="6907" max="6907" width="8.109375" customWidth="1"/>
    <col min="6908" max="6908" width="7.5546875" customWidth="1"/>
    <col min="6909" max="6910" width="9" hidden="1" customWidth="1"/>
    <col min="6911" max="6911" width="6.5546875" customWidth="1"/>
    <col min="6912" max="6912" width="7.33203125" customWidth="1"/>
    <col min="6913" max="6914" width="7.5546875" customWidth="1"/>
    <col min="6915" max="6916" width="9" hidden="1" customWidth="1"/>
    <col min="6917" max="6918" width="5.5546875" customWidth="1"/>
    <col min="6919" max="6919" width="7" customWidth="1"/>
    <col min="6920" max="6921" width="9" hidden="1" customWidth="1"/>
    <col min="6922" max="6922" width="8.88671875" customWidth="1"/>
    <col min="6923" max="6923" width="9.109375"/>
    <col min="6924" max="6933" width="9" hidden="1" customWidth="1"/>
    <col min="6934" max="7142" width="9.109375"/>
    <col min="7143" max="7143" width="3.5546875" customWidth="1"/>
    <col min="7144" max="7144" width="27.109375" customWidth="1"/>
    <col min="7145" max="7145" width="8.109375" customWidth="1"/>
    <col min="7146" max="7146" width="5" customWidth="1"/>
    <col min="7147" max="7147" width="6" customWidth="1"/>
    <col min="7148" max="7150" width="6.5546875" customWidth="1"/>
    <col min="7151" max="7152" width="7.5546875" customWidth="1"/>
    <col min="7153" max="7154" width="9" hidden="1" customWidth="1"/>
    <col min="7155" max="7155" width="7.109375" customWidth="1"/>
    <col min="7156" max="7156" width="7.5546875" customWidth="1"/>
    <col min="7157" max="7158" width="9" hidden="1" customWidth="1"/>
    <col min="7159" max="7159" width="0.109375" customWidth="1"/>
    <col min="7160" max="7160" width="9" hidden="1" customWidth="1"/>
    <col min="7161" max="7161" width="7.5546875" customWidth="1"/>
    <col min="7162" max="7162" width="7.6640625" customWidth="1"/>
    <col min="7163" max="7163" width="8.109375" customWidth="1"/>
    <col min="7164" max="7164" width="7.5546875" customWidth="1"/>
    <col min="7165" max="7166" width="9" hidden="1" customWidth="1"/>
    <col min="7167" max="7167" width="6.5546875" customWidth="1"/>
    <col min="7168" max="7168" width="7.33203125" customWidth="1"/>
    <col min="7169" max="7170" width="7.5546875" customWidth="1"/>
    <col min="7171" max="7172" width="9" hidden="1" customWidth="1"/>
    <col min="7173" max="7174" width="5.5546875" customWidth="1"/>
    <col min="7175" max="7175" width="7" customWidth="1"/>
    <col min="7176" max="7177" width="9" hidden="1" customWidth="1"/>
    <col min="7178" max="7178" width="8.88671875" customWidth="1"/>
    <col min="7179" max="7179" width="9.109375"/>
    <col min="7180" max="7189" width="9" hidden="1" customWidth="1"/>
    <col min="7190" max="7398" width="9.109375"/>
    <col min="7399" max="7399" width="3.5546875" customWidth="1"/>
    <col min="7400" max="7400" width="27.109375" customWidth="1"/>
    <col min="7401" max="7401" width="8.109375" customWidth="1"/>
    <col min="7402" max="7402" width="5" customWidth="1"/>
    <col min="7403" max="7403" width="6" customWidth="1"/>
    <col min="7404" max="7406" width="6.5546875" customWidth="1"/>
    <col min="7407" max="7408" width="7.5546875" customWidth="1"/>
    <col min="7409" max="7410" width="9" hidden="1" customWidth="1"/>
    <col min="7411" max="7411" width="7.109375" customWidth="1"/>
    <col min="7412" max="7412" width="7.5546875" customWidth="1"/>
    <col min="7413" max="7414" width="9" hidden="1" customWidth="1"/>
    <col min="7415" max="7415" width="0.109375" customWidth="1"/>
    <col min="7416" max="7416" width="9" hidden="1" customWidth="1"/>
    <col min="7417" max="7417" width="7.5546875" customWidth="1"/>
    <col min="7418" max="7418" width="7.6640625" customWidth="1"/>
    <col min="7419" max="7419" width="8.109375" customWidth="1"/>
    <col min="7420" max="7420" width="7.5546875" customWidth="1"/>
    <col min="7421" max="7422" width="9" hidden="1" customWidth="1"/>
    <col min="7423" max="7423" width="6.5546875" customWidth="1"/>
    <col min="7424" max="7424" width="7.33203125" customWidth="1"/>
    <col min="7425" max="7426" width="7.5546875" customWidth="1"/>
    <col min="7427" max="7428" width="9" hidden="1" customWidth="1"/>
    <col min="7429" max="7430" width="5.5546875" customWidth="1"/>
    <col min="7431" max="7431" width="7" customWidth="1"/>
    <col min="7432" max="7433" width="9" hidden="1" customWidth="1"/>
    <col min="7434" max="7434" width="8.88671875" customWidth="1"/>
    <col min="7435" max="7435" width="9.109375"/>
    <col min="7436" max="7445" width="9" hidden="1" customWidth="1"/>
    <col min="7446" max="7654" width="9.109375"/>
    <col min="7655" max="7655" width="3.5546875" customWidth="1"/>
    <col min="7656" max="7656" width="27.109375" customWidth="1"/>
    <col min="7657" max="7657" width="8.109375" customWidth="1"/>
    <col min="7658" max="7658" width="5" customWidth="1"/>
    <col min="7659" max="7659" width="6" customWidth="1"/>
    <col min="7660" max="7662" width="6.5546875" customWidth="1"/>
    <col min="7663" max="7664" width="7.5546875" customWidth="1"/>
    <col min="7665" max="7666" width="9" hidden="1" customWidth="1"/>
    <col min="7667" max="7667" width="7.109375" customWidth="1"/>
    <col min="7668" max="7668" width="7.5546875" customWidth="1"/>
    <col min="7669" max="7670" width="9" hidden="1" customWidth="1"/>
    <col min="7671" max="7671" width="0.109375" customWidth="1"/>
    <col min="7672" max="7672" width="9" hidden="1" customWidth="1"/>
    <col min="7673" max="7673" width="7.5546875" customWidth="1"/>
    <col min="7674" max="7674" width="7.6640625" customWidth="1"/>
    <col min="7675" max="7675" width="8.109375" customWidth="1"/>
    <col min="7676" max="7676" width="7.5546875" customWidth="1"/>
    <col min="7677" max="7678" width="9" hidden="1" customWidth="1"/>
    <col min="7679" max="7679" width="6.5546875" customWidth="1"/>
    <col min="7680" max="7680" width="7.33203125" customWidth="1"/>
    <col min="7681" max="7682" width="7.5546875" customWidth="1"/>
    <col min="7683" max="7684" width="9" hidden="1" customWidth="1"/>
    <col min="7685" max="7686" width="5.5546875" customWidth="1"/>
    <col min="7687" max="7687" width="7" customWidth="1"/>
    <col min="7688" max="7689" width="9" hidden="1" customWidth="1"/>
    <col min="7690" max="7690" width="8.88671875" customWidth="1"/>
    <col min="7691" max="7691" width="9.109375"/>
    <col min="7692" max="7701" width="9" hidden="1" customWidth="1"/>
    <col min="7702" max="7910" width="9.109375"/>
    <col min="7911" max="7911" width="3.5546875" customWidth="1"/>
    <col min="7912" max="7912" width="27.109375" customWidth="1"/>
    <col min="7913" max="7913" width="8.109375" customWidth="1"/>
    <col min="7914" max="7914" width="5" customWidth="1"/>
    <col min="7915" max="7915" width="6" customWidth="1"/>
    <col min="7916" max="7918" width="6.5546875" customWidth="1"/>
    <col min="7919" max="7920" width="7.5546875" customWidth="1"/>
    <col min="7921" max="7922" width="9" hidden="1" customWidth="1"/>
    <col min="7923" max="7923" width="7.109375" customWidth="1"/>
    <col min="7924" max="7924" width="7.5546875" customWidth="1"/>
    <col min="7925" max="7926" width="9" hidden="1" customWidth="1"/>
    <col min="7927" max="7927" width="0.109375" customWidth="1"/>
    <col min="7928" max="7928" width="9" hidden="1" customWidth="1"/>
    <col min="7929" max="7929" width="7.5546875" customWidth="1"/>
    <col min="7930" max="7930" width="7.6640625" customWidth="1"/>
    <col min="7931" max="7931" width="8.109375" customWidth="1"/>
    <col min="7932" max="7932" width="7.5546875" customWidth="1"/>
    <col min="7933" max="7934" width="9" hidden="1" customWidth="1"/>
    <col min="7935" max="7935" width="6.5546875" customWidth="1"/>
    <col min="7936" max="7936" width="7.33203125" customWidth="1"/>
    <col min="7937" max="7938" width="7.5546875" customWidth="1"/>
    <col min="7939" max="7940" width="9" hidden="1" customWidth="1"/>
    <col min="7941" max="7942" width="5.5546875" customWidth="1"/>
    <col min="7943" max="7943" width="7" customWidth="1"/>
    <col min="7944" max="7945" width="9" hidden="1" customWidth="1"/>
    <col min="7946" max="7946" width="8.88671875" customWidth="1"/>
    <col min="7947" max="7947" width="9.109375"/>
    <col min="7948" max="7957" width="9" hidden="1" customWidth="1"/>
    <col min="7958" max="8166" width="9.109375"/>
    <col min="8167" max="8167" width="3.5546875" customWidth="1"/>
    <col min="8168" max="8168" width="27.109375" customWidth="1"/>
    <col min="8169" max="8169" width="8.109375" customWidth="1"/>
    <col min="8170" max="8170" width="5" customWidth="1"/>
    <col min="8171" max="8171" width="6" customWidth="1"/>
    <col min="8172" max="8174" width="6.5546875" customWidth="1"/>
    <col min="8175" max="8176" width="7.5546875" customWidth="1"/>
    <col min="8177" max="8178" width="9" hidden="1" customWidth="1"/>
    <col min="8179" max="8179" width="7.109375" customWidth="1"/>
    <col min="8180" max="8180" width="7.5546875" customWidth="1"/>
    <col min="8181" max="8182" width="9" hidden="1" customWidth="1"/>
    <col min="8183" max="8183" width="0.109375" customWidth="1"/>
    <col min="8184" max="8184" width="9" hidden="1" customWidth="1"/>
    <col min="8185" max="8185" width="7.5546875" customWidth="1"/>
    <col min="8186" max="8186" width="7.6640625" customWidth="1"/>
    <col min="8187" max="8187" width="8.109375" customWidth="1"/>
    <col min="8188" max="8188" width="7.5546875" customWidth="1"/>
    <col min="8189" max="8190" width="9" hidden="1" customWidth="1"/>
    <col min="8191" max="8191" width="6.5546875" customWidth="1"/>
    <col min="8192" max="8192" width="7.33203125" customWidth="1"/>
    <col min="8193" max="8194" width="7.5546875" customWidth="1"/>
    <col min="8195" max="8196" width="9" hidden="1" customWidth="1"/>
    <col min="8197" max="8198" width="5.5546875" customWidth="1"/>
    <col min="8199" max="8199" width="7" customWidth="1"/>
    <col min="8200" max="8201" width="9" hidden="1" customWidth="1"/>
    <col min="8202" max="8202" width="8.88671875" customWidth="1"/>
    <col min="8203" max="8203" width="9.109375"/>
    <col min="8204" max="8213" width="9" hidden="1" customWidth="1"/>
    <col min="8214" max="8422" width="9.109375"/>
    <col min="8423" max="8423" width="3.5546875" customWidth="1"/>
    <col min="8424" max="8424" width="27.109375" customWidth="1"/>
    <col min="8425" max="8425" width="8.109375" customWidth="1"/>
    <col min="8426" max="8426" width="5" customWidth="1"/>
    <col min="8427" max="8427" width="6" customWidth="1"/>
    <col min="8428" max="8430" width="6.5546875" customWidth="1"/>
    <col min="8431" max="8432" width="7.5546875" customWidth="1"/>
    <col min="8433" max="8434" width="9" hidden="1" customWidth="1"/>
    <col min="8435" max="8435" width="7.109375" customWidth="1"/>
    <col min="8436" max="8436" width="7.5546875" customWidth="1"/>
    <col min="8437" max="8438" width="9" hidden="1" customWidth="1"/>
    <col min="8439" max="8439" width="0.109375" customWidth="1"/>
    <col min="8440" max="8440" width="9" hidden="1" customWidth="1"/>
    <col min="8441" max="8441" width="7.5546875" customWidth="1"/>
    <col min="8442" max="8442" width="7.6640625" customWidth="1"/>
    <col min="8443" max="8443" width="8.109375" customWidth="1"/>
    <col min="8444" max="8444" width="7.5546875" customWidth="1"/>
    <col min="8445" max="8446" width="9" hidden="1" customWidth="1"/>
    <col min="8447" max="8447" width="6.5546875" customWidth="1"/>
    <col min="8448" max="8448" width="7.33203125" customWidth="1"/>
    <col min="8449" max="8450" width="7.5546875" customWidth="1"/>
    <col min="8451" max="8452" width="9" hidden="1" customWidth="1"/>
    <col min="8453" max="8454" width="5.5546875" customWidth="1"/>
    <col min="8455" max="8455" width="7" customWidth="1"/>
    <col min="8456" max="8457" width="9" hidden="1" customWidth="1"/>
    <col min="8458" max="8458" width="8.88671875" customWidth="1"/>
    <col min="8459" max="8459" width="9.109375"/>
    <col min="8460" max="8469" width="9" hidden="1" customWidth="1"/>
    <col min="8470" max="8678" width="9.109375"/>
    <col min="8679" max="8679" width="3.5546875" customWidth="1"/>
    <col min="8680" max="8680" width="27.109375" customWidth="1"/>
    <col min="8681" max="8681" width="8.109375" customWidth="1"/>
    <col min="8682" max="8682" width="5" customWidth="1"/>
    <col min="8683" max="8683" width="6" customWidth="1"/>
    <col min="8684" max="8686" width="6.5546875" customWidth="1"/>
    <col min="8687" max="8688" width="7.5546875" customWidth="1"/>
    <col min="8689" max="8690" width="9" hidden="1" customWidth="1"/>
    <col min="8691" max="8691" width="7.109375" customWidth="1"/>
    <col min="8692" max="8692" width="7.5546875" customWidth="1"/>
    <col min="8693" max="8694" width="9" hidden="1" customWidth="1"/>
    <col min="8695" max="8695" width="0.109375" customWidth="1"/>
    <col min="8696" max="8696" width="9" hidden="1" customWidth="1"/>
    <col min="8697" max="8697" width="7.5546875" customWidth="1"/>
    <col min="8698" max="8698" width="7.6640625" customWidth="1"/>
    <col min="8699" max="8699" width="8.109375" customWidth="1"/>
    <col min="8700" max="8700" width="7.5546875" customWidth="1"/>
    <col min="8701" max="8702" width="9" hidden="1" customWidth="1"/>
    <col min="8703" max="8703" width="6.5546875" customWidth="1"/>
    <col min="8704" max="8704" width="7.33203125" customWidth="1"/>
    <col min="8705" max="8706" width="7.5546875" customWidth="1"/>
    <col min="8707" max="8708" width="9" hidden="1" customWidth="1"/>
    <col min="8709" max="8710" width="5.5546875" customWidth="1"/>
    <col min="8711" max="8711" width="7" customWidth="1"/>
    <col min="8712" max="8713" width="9" hidden="1" customWidth="1"/>
    <col min="8714" max="8714" width="8.88671875" customWidth="1"/>
    <col min="8715" max="8715" width="9.109375"/>
    <col min="8716" max="8725" width="9" hidden="1" customWidth="1"/>
    <col min="8726" max="8934" width="9.109375"/>
    <col min="8935" max="8935" width="3.5546875" customWidth="1"/>
    <col min="8936" max="8936" width="27.109375" customWidth="1"/>
    <col min="8937" max="8937" width="8.109375" customWidth="1"/>
    <col min="8938" max="8938" width="5" customWidth="1"/>
    <col min="8939" max="8939" width="6" customWidth="1"/>
    <col min="8940" max="8942" width="6.5546875" customWidth="1"/>
    <col min="8943" max="8944" width="7.5546875" customWidth="1"/>
    <col min="8945" max="8946" width="9" hidden="1" customWidth="1"/>
    <col min="8947" max="8947" width="7.109375" customWidth="1"/>
    <col min="8948" max="8948" width="7.5546875" customWidth="1"/>
    <col min="8949" max="8950" width="9" hidden="1" customWidth="1"/>
    <col min="8951" max="8951" width="0.109375" customWidth="1"/>
    <col min="8952" max="8952" width="9" hidden="1" customWidth="1"/>
    <col min="8953" max="8953" width="7.5546875" customWidth="1"/>
    <col min="8954" max="8954" width="7.6640625" customWidth="1"/>
    <col min="8955" max="8955" width="8.109375" customWidth="1"/>
    <col min="8956" max="8956" width="7.5546875" customWidth="1"/>
    <col min="8957" max="8958" width="9" hidden="1" customWidth="1"/>
    <col min="8959" max="8959" width="6.5546875" customWidth="1"/>
    <col min="8960" max="8960" width="7.33203125" customWidth="1"/>
    <col min="8961" max="8962" width="7.5546875" customWidth="1"/>
    <col min="8963" max="8964" width="9" hidden="1" customWidth="1"/>
    <col min="8965" max="8966" width="5.5546875" customWidth="1"/>
    <col min="8967" max="8967" width="7" customWidth="1"/>
    <col min="8968" max="8969" width="9" hidden="1" customWidth="1"/>
    <col min="8970" max="8970" width="8.88671875" customWidth="1"/>
    <col min="8971" max="8971" width="9.109375"/>
    <col min="8972" max="8981" width="9" hidden="1" customWidth="1"/>
    <col min="8982" max="9190" width="9.109375"/>
    <col min="9191" max="9191" width="3.5546875" customWidth="1"/>
    <col min="9192" max="9192" width="27.109375" customWidth="1"/>
    <col min="9193" max="9193" width="8.109375" customWidth="1"/>
    <col min="9194" max="9194" width="5" customWidth="1"/>
    <col min="9195" max="9195" width="6" customWidth="1"/>
    <col min="9196" max="9198" width="6.5546875" customWidth="1"/>
    <col min="9199" max="9200" width="7.5546875" customWidth="1"/>
    <col min="9201" max="9202" width="9" hidden="1" customWidth="1"/>
    <col min="9203" max="9203" width="7.109375" customWidth="1"/>
    <col min="9204" max="9204" width="7.5546875" customWidth="1"/>
    <col min="9205" max="9206" width="9" hidden="1" customWidth="1"/>
    <col min="9207" max="9207" width="0.109375" customWidth="1"/>
    <col min="9208" max="9208" width="9" hidden="1" customWidth="1"/>
    <col min="9209" max="9209" width="7.5546875" customWidth="1"/>
    <col min="9210" max="9210" width="7.6640625" customWidth="1"/>
    <col min="9211" max="9211" width="8.109375" customWidth="1"/>
    <col min="9212" max="9212" width="7.5546875" customWidth="1"/>
    <col min="9213" max="9214" width="9" hidden="1" customWidth="1"/>
    <col min="9215" max="9215" width="6.5546875" customWidth="1"/>
    <col min="9216" max="9216" width="7.33203125" customWidth="1"/>
    <col min="9217" max="9218" width="7.5546875" customWidth="1"/>
    <col min="9219" max="9220" width="9" hidden="1" customWidth="1"/>
    <col min="9221" max="9222" width="5.5546875" customWidth="1"/>
    <col min="9223" max="9223" width="7" customWidth="1"/>
    <col min="9224" max="9225" width="9" hidden="1" customWidth="1"/>
    <col min="9226" max="9226" width="8.88671875" customWidth="1"/>
    <col min="9227" max="9227" width="9.109375"/>
    <col min="9228" max="9237" width="9" hidden="1" customWidth="1"/>
    <col min="9238" max="9446" width="9.109375"/>
    <col min="9447" max="9447" width="3.5546875" customWidth="1"/>
    <col min="9448" max="9448" width="27.109375" customWidth="1"/>
    <col min="9449" max="9449" width="8.109375" customWidth="1"/>
    <col min="9450" max="9450" width="5" customWidth="1"/>
    <col min="9451" max="9451" width="6" customWidth="1"/>
    <col min="9452" max="9454" width="6.5546875" customWidth="1"/>
    <col min="9455" max="9456" width="7.5546875" customWidth="1"/>
    <col min="9457" max="9458" width="9" hidden="1" customWidth="1"/>
    <col min="9459" max="9459" width="7.109375" customWidth="1"/>
    <col min="9460" max="9460" width="7.5546875" customWidth="1"/>
    <col min="9461" max="9462" width="9" hidden="1" customWidth="1"/>
    <col min="9463" max="9463" width="0.109375" customWidth="1"/>
    <col min="9464" max="9464" width="9" hidden="1" customWidth="1"/>
    <col min="9465" max="9465" width="7.5546875" customWidth="1"/>
    <col min="9466" max="9466" width="7.6640625" customWidth="1"/>
    <col min="9467" max="9467" width="8.109375" customWidth="1"/>
    <col min="9468" max="9468" width="7.5546875" customWidth="1"/>
    <col min="9469" max="9470" width="9" hidden="1" customWidth="1"/>
    <col min="9471" max="9471" width="6.5546875" customWidth="1"/>
    <col min="9472" max="9472" width="7.33203125" customWidth="1"/>
    <col min="9473" max="9474" width="7.5546875" customWidth="1"/>
    <col min="9475" max="9476" width="9" hidden="1" customWidth="1"/>
    <col min="9477" max="9478" width="5.5546875" customWidth="1"/>
    <col min="9479" max="9479" width="7" customWidth="1"/>
    <col min="9480" max="9481" width="9" hidden="1" customWidth="1"/>
    <col min="9482" max="9482" width="8.88671875" customWidth="1"/>
    <col min="9483" max="9483" width="9.109375"/>
    <col min="9484" max="9493" width="9" hidden="1" customWidth="1"/>
    <col min="9494" max="9702" width="9.109375"/>
    <col min="9703" max="9703" width="3.5546875" customWidth="1"/>
    <col min="9704" max="9704" width="27.109375" customWidth="1"/>
    <col min="9705" max="9705" width="8.109375" customWidth="1"/>
    <col min="9706" max="9706" width="5" customWidth="1"/>
    <col min="9707" max="9707" width="6" customWidth="1"/>
    <col min="9708" max="9710" width="6.5546875" customWidth="1"/>
    <col min="9711" max="9712" width="7.5546875" customWidth="1"/>
    <col min="9713" max="9714" width="9" hidden="1" customWidth="1"/>
    <col min="9715" max="9715" width="7.109375" customWidth="1"/>
    <col min="9716" max="9716" width="7.5546875" customWidth="1"/>
    <col min="9717" max="9718" width="9" hidden="1" customWidth="1"/>
    <col min="9719" max="9719" width="0.109375" customWidth="1"/>
    <col min="9720" max="9720" width="9" hidden="1" customWidth="1"/>
    <col min="9721" max="9721" width="7.5546875" customWidth="1"/>
    <col min="9722" max="9722" width="7.6640625" customWidth="1"/>
    <col min="9723" max="9723" width="8.109375" customWidth="1"/>
    <col min="9724" max="9724" width="7.5546875" customWidth="1"/>
    <col min="9725" max="9726" width="9" hidden="1" customWidth="1"/>
    <col min="9727" max="9727" width="6.5546875" customWidth="1"/>
    <col min="9728" max="9728" width="7.33203125" customWidth="1"/>
    <col min="9729" max="9730" width="7.5546875" customWidth="1"/>
    <col min="9731" max="9732" width="9" hidden="1" customWidth="1"/>
    <col min="9733" max="9734" width="5.5546875" customWidth="1"/>
    <col min="9735" max="9735" width="7" customWidth="1"/>
    <col min="9736" max="9737" width="9" hidden="1" customWidth="1"/>
    <col min="9738" max="9738" width="8.88671875" customWidth="1"/>
    <col min="9739" max="9739" width="9.109375"/>
    <col min="9740" max="9749" width="9" hidden="1" customWidth="1"/>
    <col min="9750" max="9958" width="9.109375"/>
    <col min="9959" max="9959" width="3.5546875" customWidth="1"/>
    <col min="9960" max="9960" width="27.109375" customWidth="1"/>
    <col min="9961" max="9961" width="8.109375" customWidth="1"/>
    <col min="9962" max="9962" width="5" customWidth="1"/>
    <col min="9963" max="9963" width="6" customWidth="1"/>
    <col min="9964" max="9966" width="6.5546875" customWidth="1"/>
    <col min="9967" max="9968" width="7.5546875" customWidth="1"/>
    <col min="9969" max="9970" width="9" hidden="1" customWidth="1"/>
    <col min="9971" max="9971" width="7.109375" customWidth="1"/>
    <col min="9972" max="9972" width="7.5546875" customWidth="1"/>
    <col min="9973" max="9974" width="9" hidden="1" customWidth="1"/>
    <col min="9975" max="9975" width="0.109375" customWidth="1"/>
    <col min="9976" max="9976" width="9" hidden="1" customWidth="1"/>
    <col min="9977" max="9977" width="7.5546875" customWidth="1"/>
    <col min="9978" max="9978" width="7.6640625" customWidth="1"/>
    <col min="9979" max="9979" width="8.109375" customWidth="1"/>
    <col min="9980" max="9980" width="7.5546875" customWidth="1"/>
    <col min="9981" max="9982" width="9" hidden="1" customWidth="1"/>
    <col min="9983" max="9983" width="6.5546875" customWidth="1"/>
    <col min="9984" max="9984" width="7.33203125" customWidth="1"/>
    <col min="9985" max="9986" width="7.5546875" customWidth="1"/>
    <col min="9987" max="9988" width="9" hidden="1" customWidth="1"/>
    <col min="9989" max="9990" width="5.5546875" customWidth="1"/>
    <col min="9991" max="9991" width="7" customWidth="1"/>
    <col min="9992" max="9993" width="9" hidden="1" customWidth="1"/>
    <col min="9994" max="9994" width="8.88671875" customWidth="1"/>
    <col min="9995" max="9995" width="9.109375"/>
    <col min="9996" max="10005" width="9" hidden="1" customWidth="1"/>
    <col min="10006" max="10214" width="9.109375"/>
    <col min="10215" max="10215" width="3.5546875" customWidth="1"/>
    <col min="10216" max="10216" width="27.109375" customWidth="1"/>
    <col min="10217" max="10217" width="8.109375" customWidth="1"/>
    <col min="10218" max="10218" width="5" customWidth="1"/>
    <col min="10219" max="10219" width="6" customWidth="1"/>
    <col min="10220" max="10222" width="6.5546875" customWidth="1"/>
    <col min="10223" max="10224" width="7.5546875" customWidth="1"/>
    <col min="10225" max="10226" width="9" hidden="1" customWidth="1"/>
    <col min="10227" max="10227" width="7.109375" customWidth="1"/>
    <col min="10228" max="10228" width="7.5546875" customWidth="1"/>
    <col min="10229" max="10230" width="9" hidden="1" customWidth="1"/>
    <col min="10231" max="10231" width="0.109375" customWidth="1"/>
    <col min="10232" max="10232" width="9" hidden="1" customWidth="1"/>
    <col min="10233" max="10233" width="7.5546875" customWidth="1"/>
    <col min="10234" max="10234" width="7.6640625" customWidth="1"/>
    <col min="10235" max="10235" width="8.109375" customWidth="1"/>
    <col min="10236" max="10236" width="7.5546875" customWidth="1"/>
    <col min="10237" max="10238" width="9" hidden="1" customWidth="1"/>
    <col min="10239" max="10239" width="6.5546875" customWidth="1"/>
    <col min="10240" max="10240" width="7.33203125" customWidth="1"/>
    <col min="10241" max="10242" width="7.5546875" customWidth="1"/>
    <col min="10243" max="10244" width="9" hidden="1" customWidth="1"/>
    <col min="10245" max="10246" width="5.5546875" customWidth="1"/>
    <col min="10247" max="10247" width="7" customWidth="1"/>
    <col min="10248" max="10249" width="9" hidden="1" customWidth="1"/>
    <col min="10250" max="10250" width="8.88671875" customWidth="1"/>
    <col min="10251" max="10251" width="9.109375"/>
    <col min="10252" max="10261" width="9" hidden="1" customWidth="1"/>
    <col min="10262" max="10470" width="9.109375"/>
    <col min="10471" max="10471" width="3.5546875" customWidth="1"/>
    <col min="10472" max="10472" width="27.109375" customWidth="1"/>
    <col min="10473" max="10473" width="8.109375" customWidth="1"/>
    <col min="10474" max="10474" width="5" customWidth="1"/>
    <col min="10475" max="10475" width="6" customWidth="1"/>
    <col min="10476" max="10478" width="6.5546875" customWidth="1"/>
    <col min="10479" max="10480" width="7.5546875" customWidth="1"/>
    <col min="10481" max="10482" width="9" hidden="1" customWidth="1"/>
    <col min="10483" max="10483" width="7.109375" customWidth="1"/>
    <col min="10484" max="10484" width="7.5546875" customWidth="1"/>
    <col min="10485" max="10486" width="9" hidden="1" customWidth="1"/>
    <col min="10487" max="10487" width="0.109375" customWidth="1"/>
    <col min="10488" max="10488" width="9" hidden="1" customWidth="1"/>
    <col min="10489" max="10489" width="7.5546875" customWidth="1"/>
    <col min="10490" max="10490" width="7.6640625" customWidth="1"/>
    <col min="10491" max="10491" width="8.109375" customWidth="1"/>
    <col min="10492" max="10492" width="7.5546875" customWidth="1"/>
    <col min="10493" max="10494" width="9" hidden="1" customWidth="1"/>
    <col min="10495" max="10495" width="6.5546875" customWidth="1"/>
    <col min="10496" max="10496" width="7.33203125" customWidth="1"/>
    <col min="10497" max="10498" width="7.5546875" customWidth="1"/>
    <col min="10499" max="10500" width="9" hidden="1" customWidth="1"/>
    <col min="10501" max="10502" width="5.5546875" customWidth="1"/>
    <col min="10503" max="10503" width="7" customWidth="1"/>
    <col min="10504" max="10505" width="9" hidden="1" customWidth="1"/>
    <col min="10506" max="10506" width="8.88671875" customWidth="1"/>
    <col min="10507" max="10507" width="9.109375"/>
    <col min="10508" max="10517" width="9" hidden="1" customWidth="1"/>
    <col min="10518" max="10726" width="9.109375"/>
    <col min="10727" max="10727" width="3.5546875" customWidth="1"/>
    <col min="10728" max="10728" width="27.109375" customWidth="1"/>
    <col min="10729" max="10729" width="8.109375" customWidth="1"/>
    <col min="10730" max="10730" width="5" customWidth="1"/>
    <col min="10731" max="10731" width="6" customWidth="1"/>
    <col min="10732" max="10734" width="6.5546875" customWidth="1"/>
    <col min="10735" max="10736" width="7.5546875" customWidth="1"/>
    <col min="10737" max="10738" width="9" hidden="1" customWidth="1"/>
    <col min="10739" max="10739" width="7.109375" customWidth="1"/>
    <col min="10740" max="10740" width="7.5546875" customWidth="1"/>
    <col min="10741" max="10742" width="9" hidden="1" customWidth="1"/>
    <col min="10743" max="10743" width="0.109375" customWidth="1"/>
    <col min="10744" max="10744" width="9" hidden="1" customWidth="1"/>
    <col min="10745" max="10745" width="7.5546875" customWidth="1"/>
    <col min="10746" max="10746" width="7.6640625" customWidth="1"/>
    <col min="10747" max="10747" width="8.109375" customWidth="1"/>
    <col min="10748" max="10748" width="7.5546875" customWidth="1"/>
    <col min="10749" max="10750" width="9" hidden="1" customWidth="1"/>
    <col min="10751" max="10751" width="6.5546875" customWidth="1"/>
    <col min="10752" max="10752" width="7.33203125" customWidth="1"/>
    <col min="10753" max="10754" width="7.5546875" customWidth="1"/>
    <col min="10755" max="10756" width="9" hidden="1" customWidth="1"/>
    <col min="10757" max="10758" width="5.5546875" customWidth="1"/>
    <col min="10759" max="10759" width="7" customWidth="1"/>
    <col min="10760" max="10761" width="9" hidden="1" customWidth="1"/>
    <col min="10762" max="10762" width="8.88671875" customWidth="1"/>
    <col min="10763" max="10763" width="9.109375"/>
    <col min="10764" max="10773" width="9" hidden="1" customWidth="1"/>
    <col min="10774" max="10982" width="9.109375"/>
    <col min="10983" max="10983" width="3.5546875" customWidth="1"/>
    <col min="10984" max="10984" width="27.109375" customWidth="1"/>
    <col min="10985" max="10985" width="8.109375" customWidth="1"/>
    <col min="10986" max="10986" width="5" customWidth="1"/>
    <col min="10987" max="10987" width="6" customWidth="1"/>
    <col min="10988" max="10990" width="6.5546875" customWidth="1"/>
    <col min="10991" max="10992" width="7.5546875" customWidth="1"/>
    <col min="10993" max="10994" width="9" hidden="1" customWidth="1"/>
    <col min="10995" max="10995" width="7.109375" customWidth="1"/>
    <col min="10996" max="10996" width="7.5546875" customWidth="1"/>
    <col min="10997" max="10998" width="9" hidden="1" customWidth="1"/>
    <col min="10999" max="10999" width="0.109375" customWidth="1"/>
    <col min="11000" max="11000" width="9" hidden="1" customWidth="1"/>
    <col min="11001" max="11001" width="7.5546875" customWidth="1"/>
    <col min="11002" max="11002" width="7.6640625" customWidth="1"/>
    <col min="11003" max="11003" width="8.109375" customWidth="1"/>
    <col min="11004" max="11004" width="7.5546875" customWidth="1"/>
    <col min="11005" max="11006" width="9" hidden="1" customWidth="1"/>
    <col min="11007" max="11007" width="6.5546875" customWidth="1"/>
    <col min="11008" max="11008" width="7.33203125" customWidth="1"/>
    <col min="11009" max="11010" width="7.5546875" customWidth="1"/>
    <col min="11011" max="11012" width="9" hidden="1" customWidth="1"/>
    <col min="11013" max="11014" width="5.5546875" customWidth="1"/>
    <col min="11015" max="11015" width="7" customWidth="1"/>
    <col min="11016" max="11017" width="9" hidden="1" customWidth="1"/>
    <col min="11018" max="11018" width="8.88671875" customWidth="1"/>
    <col min="11019" max="11019" width="9.109375"/>
    <col min="11020" max="11029" width="9" hidden="1" customWidth="1"/>
    <col min="11030" max="11238" width="9.109375"/>
    <col min="11239" max="11239" width="3.5546875" customWidth="1"/>
    <col min="11240" max="11240" width="27.109375" customWidth="1"/>
    <col min="11241" max="11241" width="8.109375" customWidth="1"/>
    <col min="11242" max="11242" width="5" customWidth="1"/>
    <col min="11243" max="11243" width="6" customWidth="1"/>
    <col min="11244" max="11246" width="6.5546875" customWidth="1"/>
    <col min="11247" max="11248" width="7.5546875" customWidth="1"/>
    <col min="11249" max="11250" width="9" hidden="1" customWidth="1"/>
    <col min="11251" max="11251" width="7.109375" customWidth="1"/>
    <col min="11252" max="11252" width="7.5546875" customWidth="1"/>
    <col min="11253" max="11254" width="9" hidden="1" customWidth="1"/>
    <col min="11255" max="11255" width="0.109375" customWidth="1"/>
    <col min="11256" max="11256" width="9" hidden="1" customWidth="1"/>
    <col min="11257" max="11257" width="7.5546875" customWidth="1"/>
    <col min="11258" max="11258" width="7.6640625" customWidth="1"/>
    <col min="11259" max="11259" width="8.109375" customWidth="1"/>
    <col min="11260" max="11260" width="7.5546875" customWidth="1"/>
    <col min="11261" max="11262" width="9" hidden="1" customWidth="1"/>
    <col min="11263" max="11263" width="6.5546875" customWidth="1"/>
    <col min="11264" max="11264" width="7.33203125" customWidth="1"/>
    <col min="11265" max="11266" width="7.5546875" customWidth="1"/>
    <col min="11267" max="11268" width="9" hidden="1" customWidth="1"/>
    <col min="11269" max="11270" width="5.5546875" customWidth="1"/>
    <col min="11271" max="11271" width="7" customWidth="1"/>
    <col min="11272" max="11273" width="9" hidden="1" customWidth="1"/>
    <col min="11274" max="11274" width="8.88671875" customWidth="1"/>
    <col min="11275" max="11275" width="9.109375"/>
    <col min="11276" max="11285" width="9" hidden="1" customWidth="1"/>
    <col min="11286" max="11494" width="9.109375"/>
    <col min="11495" max="11495" width="3.5546875" customWidth="1"/>
    <col min="11496" max="11496" width="27.109375" customWidth="1"/>
    <col min="11497" max="11497" width="8.109375" customWidth="1"/>
    <col min="11498" max="11498" width="5" customWidth="1"/>
    <col min="11499" max="11499" width="6" customWidth="1"/>
    <col min="11500" max="11502" width="6.5546875" customWidth="1"/>
    <col min="11503" max="11504" width="7.5546875" customWidth="1"/>
    <col min="11505" max="11506" width="9" hidden="1" customWidth="1"/>
    <col min="11507" max="11507" width="7.109375" customWidth="1"/>
    <col min="11508" max="11508" width="7.5546875" customWidth="1"/>
    <col min="11509" max="11510" width="9" hidden="1" customWidth="1"/>
    <col min="11511" max="11511" width="0.109375" customWidth="1"/>
    <col min="11512" max="11512" width="9" hidden="1" customWidth="1"/>
    <col min="11513" max="11513" width="7.5546875" customWidth="1"/>
    <col min="11514" max="11514" width="7.6640625" customWidth="1"/>
    <col min="11515" max="11515" width="8.109375" customWidth="1"/>
    <col min="11516" max="11516" width="7.5546875" customWidth="1"/>
    <col min="11517" max="11518" width="9" hidden="1" customWidth="1"/>
    <col min="11519" max="11519" width="6.5546875" customWidth="1"/>
    <col min="11520" max="11520" width="7.33203125" customWidth="1"/>
    <col min="11521" max="11522" width="7.5546875" customWidth="1"/>
    <col min="11523" max="11524" width="9" hidden="1" customWidth="1"/>
    <col min="11525" max="11526" width="5.5546875" customWidth="1"/>
    <col min="11527" max="11527" width="7" customWidth="1"/>
    <col min="11528" max="11529" width="9" hidden="1" customWidth="1"/>
    <col min="11530" max="11530" width="8.88671875" customWidth="1"/>
    <col min="11531" max="11531" width="9.109375"/>
    <col min="11532" max="11541" width="9" hidden="1" customWidth="1"/>
    <col min="11542" max="11750" width="9.109375"/>
    <col min="11751" max="11751" width="3.5546875" customWidth="1"/>
    <col min="11752" max="11752" width="27.109375" customWidth="1"/>
    <col min="11753" max="11753" width="8.109375" customWidth="1"/>
    <col min="11754" max="11754" width="5" customWidth="1"/>
    <col min="11755" max="11755" width="6" customWidth="1"/>
    <col min="11756" max="11758" width="6.5546875" customWidth="1"/>
    <col min="11759" max="11760" width="7.5546875" customWidth="1"/>
    <col min="11761" max="11762" width="9" hidden="1" customWidth="1"/>
    <col min="11763" max="11763" width="7.109375" customWidth="1"/>
    <col min="11764" max="11764" width="7.5546875" customWidth="1"/>
    <col min="11765" max="11766" width="9" hidden="1" customWidth="1"/>
    <col min="11767" max="11767" width="0.109375" customWidth="1"/>
    <col min="11768" max="11768" width="9" hidden="1" customWidth="1"/>
    <col min="11769" max="11769" width="7.5546875" customWidth="1"/>
    <col min="11770" max="11770" width="7.6640625" customWidth="1"/>
    <col min="11771" max="11771" width="8.109375" customWidth="1"/>
    <col min="11772" max="11772" width="7.5546875" customWidth="1"/>
    <col min="11773" max="11774" width="9" hidden="1" customWidth="1"/>
    <col min="11775" max="11775" width="6.5546875" customWidth="1"/>
    <col min="11776" max="11776" width="7.33203125" customWidth="1"/>
    <col min="11777" max="11778" width="7.5546875" customWidth="1"/>
    <col min="11779" max="11780" width="9" hidden="1" customWidth="1"/>
    <col min="11781" max="11782" width="5.5546875" customWidth="1"/>
    <col min="11783" max="11783" width="7" customWidth="1"/>
    <col min="11784" max="11785" width="9" hidden="1" customWidth="1"/>
    <col min="11786" max="11786" width="8.88671875" customWidth="1"/>
    <col min="11787" max="11787" width="9.109375"/>
    <col min="11788" max="11797" width="9" hidden="1" customWidth="1"/>
    <col min="11798" max="12006" width="9.109375"/>
    <col min="12007" max="12007" width="3.5546875" customWidth="1"/>
    <col min="12008" max="12008" width="27.109375" customWidth="1"/>
    <col min="12009" max="12009" width="8.109375" customWidth="1"/>
    <col min="12010" max="12010" width="5" customWidth="1"/>
    <col min="12011" max="12011" width="6" customWidth="1"/>
    <col min="12012" max="12014" width="6.5546875" customWidth="1"/>
    <col min="12015" max="12016" width="7.5546875" customWidth="1"/>
    <col min="12017" max="12018" width="9" hidden="1" customWidth="1"/>
    <col min="12019" max="12019" width="7.109375" customWidth="1"/>
    <col min="12020" max="12020" width="7.5546875" customWidth="1"/>
    <col min="12021" max="12022" width="9" hidden="1" customWidth="1"/>
    <col min="12023" max="12023" width="0.109375" customWidth="1"/>
    <col min="12024" max="12024" width="9" hidden="1" customWidth="1"/>
    <col min="12025" max="12025" width="7.5546875" customWidth="1"/>
    <col min="12026" max="12026" width="7.6640625" customWidth="1"/>
    <col min="12027" max="12027" width="8.109375" customWidth="1"/>
    <col min="12028" max="12028" width="7.5546875" customWidth="1"/>
    <col min="12029" max="12030" width="9" hidden="1" customWidth="1"/>
    <col min="12031" max="12031" width="6.5546875" customWidth="1"/>
    <col min="12032" max="12032" width="7.33203125" customWidth="1"/>
    <col min="12033" max="12034" width="7.5546875" customWidth="1"/>
    <col min="12035" max="12036" width="9" hidden="1" customWidth="1"/>
    <col min="12037" max="12038" width="5.5546875" customWidth="1"/>
    <col min="12039" max="12039" width="7" customWidth="1"/>
    <col min="12040" max="12041" width="9" hidden="1" customWidth="1"/>
    <col min="12042" max="12042" width="8.88671875" customWidth="1"/>
    <col min="12043" max="12043" width="9.109375"/>
    <col min="12044" max="12053" width="9" hidden="1" customWidth="1"/>
    <col min="12054" max="12262" width="9.109375"/>
    <col min="12263" max="12263" width="3.5546875" customWidth="1"/>
    <col min="12264" max="12264" width="27.109375" customWidth="1"/>
    <col min="12265" max="12265" width="8.109375" customWidth="1"/>
    <col min="12266" max="12266" width="5" customWidth="1"/>
    <col min="12267" max="12267" width="6" customWidth="1"/>
    <col min="12268" max="12270" width="6.5546875" customWidth="1"/>
    <col min="12271" max="12272" width="7.5546875" customWidth="1"/>
    <col min="12273" max="12274" width="9" hidden="1" customWidth="1"/>
    <col min="12275" max="12275" width="7.109375" customWidth="1"/>
    <col min="12276" max="12276" width="7.5546875" customWidth="1"/>
    <col min="12277" max="12278" width="9" hidden="1" customWidth="1"/>
    <col min="12279" max="12279" width="0.109375" customWidth="1"/>
    <col min="12280" max="12280" width="9" hidden="1" customWidth="1"/>
    <col min="12281" max="12281" width="7.5546875" customWidth="1"/>
    <col min="12282" max="12282" width="7.6640625" customWidth="1"/>
    <col min="12283" max="12283" width="8.109375" customWidth="1"/>
    <col min="12284" max="12284" width="7.5546875" customWidth="1"/>
    <col min="12285" max="12286" width="9" hidden="1" customWidth="1"/>
    <col min="12287" max="12287" width="6.5546875" customWidth="1"/>
    <col min="12288" max="12288" width="7.33203125" customWidth="1"/>
    <col min="12289" max="12290" width="7.5546875" customWidth="1"/>
    <col min="12291" max="12292" width="9" hidden="1" customWidth="1"/>
    <col min="12293" max="12294" width="5.5546875" customWidth="1"/>
    <col min="12295" max="12295" width="7" customWidth="1"/>
    <col min="12296" max="12297" width="9" hidden="1" customWidth="1"/>
    <col min="12298" max="12298" width="8.88671875" customWidth="1"/>
    <col min="12299" max="12299" width="9.109375"/>
    <col min="12300" max="12309" width="9" hidden="1" customWidth="1"/>
    <col min="12310" max="12518" width="9.109375"/>
    <col min="12519" max="12519" width="3.5546875" customWidth="1"/>
    <col min="12520" max="12520" width="27.109375" customWidth="1"/>
    <col min="12521" max="12521" width="8.109375" customWidth="1"/>
    <col min="12522" max="12522" width="5" customWidth="1"/>
    <col min="12523" max="12523" width="6" customWidth="1"/>
    <col min="12524" max="12526" width="6.5546875" customWidth="1"/>
    <col min="12527" max="12528" width="7.5546875" customWidth="1"/>
    <col min="12529" max="12530" width="9" hidden="1" customWidth="1"/>
    <col min="12531" max="12531" width="7.109375" customWidth="1"/>
    <col min="12532" max="12532" width="7.5546875" customWidth="1"/>
    <col min="12533" max="12534" width="9" hidden="1" customWidth="1"/>
    <col min="12535" max="12535" width="0.109375" customWidth="1"/>
    <col min="12536" max="12536" width="9" hidden="1" customWidth="1"/>
    <col min="12537" max="12537" width="7.5546875" customWidth="1"/>
    <col min="12538" max="12538" width="7.6640625" customWidth="1"/>
    <col min="12539" max="12539" width="8.109375" customWidth="1"/>
    <col min="12540" max="12540" width="7.5546875" customWidth="1"/>
    <col min="12541" max="12542" width="9" hidden="1" customWidth="1"/>
    <col min="12543" max="12543" width="6.5546875" customWidth="1"/>
    <col min="12544" max="12544" width="7.33203125" customWidth="1"/>
    <col min="12545" max="12546" width="7.5546875" customWidth="1"/>
    <col min="12547" max="12548" width="9" hidden="1" customWidth="1"/>
    <col min="12549" max="12550" width="5.5546875" customWidth="1"/>
    <col min="12551" max="12551" width="7" customWidth="1"/>
    <col min="12552" max="12553" width="9" hidden="1" customWidth="1"/>
    <col min="12554" max="12554" width="8.88671875" customWidth="1"/>
    <col min="12555" max="12555" width="9.109375"/>
    <col min="12556" max="12565" width="9" hidden="1" customWidth="1"/>
    <col min="12566" max="12774" width="9.109375"/>
    <col min="12775" max="12775" width="3.5546875" customWidth="1"/>
    <col min="12776" max="12776" width="27.109375" customWidth="1"/>
    <col min="12777" max="12777" width="8.109375" customWidth="1"/>
    <col min="12778" max="12778" width="5" customWidth="1"/>
    <col min="12779" max="12779" width="6" customWidth="1"/>
    <col min="12780" max="12782" width="6.5546875" customWidth="1"/>
    <col min="12783" max="12784" width="7.5546875" customWidth="1"/>
    <col min="12785" max="12786" width="9" hidden="1" customWidth="1"/>
    <col min="12787" max="12787" width="7.109375" customWidth="1"/>
    <col min="12788" max="12788" width="7.5546875" customWidth="1"/>
    <col min="12789" max="12790" width="9" hidden="1" customWidth="1"/>
    <col min="12791" max="12791" width="0.109375" customWidth="1"/>
    <col min="12792" max="12792" width="9" hidden="1" customWidth="1"/>
    <col min="12793" max="12793" width="7.5546875" customWidth="1"/>
    <col min="12794" max="12794" width="7.6640625" customWidth="1"/>
    <col min="12795" max="12795" width="8.109375" customWidth="1"/>
    <col min="12796" max="12796" width="7.5546875" customWidth="1"/>
    <col min="12797" max="12798" width="9" hidden="1" customWidth="1"/>
    <col min="12799" max="12799" width="6.5546875" customWidth="1"/>
    <col min="12800" max="12800" width="7.33203125" customWidth="1"/>
    <col min="12801" max="12802" width="7.5546875" customWidth="1"/>
    <col min="12803" max="12804" width="9" hidden="1" customWidth="1"/>
    <col min="12805" max="12806" width="5.5546875" customWidth="1"/>
    <col min="12807" max="12807" width="7" customWidth="1"/>
    <col min="12808" max="12809" width="9" hidden="1" customWidth="1"/>
    <col min="12810" max="12810" width="8.88671875" customWidth="1"/>
    <col min="12811" max="12811" width="9.109375"/>
    <col min="12812" max="12821" width="9" hidden="1" customWidth="1"/>
    <col min="12822" max="13030" width="9.109375"/>
    <col min="13031" max="13031" width="3.5546875" customWidth="1"/>
    <col min="13032" max="13032" width="27.109375" customWidth="1"/>
    <col min="13033" max="13033" width="8.109375" customWidth="1"/>
    <col min="13034" max="13034" width="5" customWidth="1"/>
    <col min="13035" max="13035" width="6" customWidth="1"/>
    <col min="13036" max="13038" width="6.5546875" customWidth="1"/>
    <col min="13039" max="13040" width="7.5546875" customWidth="1"/>
    <col min="13041" max="13042" width="9" hidden="1" customWidth="1"/>
    <col min="13043" max="13043" width="7.109375" customWidth="1"/>
    <col min="13044" max="13044" width="7.5546875" customWidth="1"/>
    <col min="13045" max="13046" width="9" hidden="1" customWidth="1"/>
    <col min="13047" max="13047" width="0.109375" customWidth="1"/>
    <col min="13048" max="13048" width="9" hidden="1" customWidth="1"/>
    <col min="13049" max="13049" width="7.5546875" customWidth="1"/>
    <col min="13050" max="13050" width="7.6640625" customWidth="1"/>
    <col min="13051" max="13051" width="8.109375" customWidth="1"/>
    <col min="13052" max="13052" width="7.5546875" customWidth="1"/>
    <col min="13053" max="13054" width="9" hidden="1" customWidth="1"/>
    <col min="13055" max="13055" width="6.5546875" customWidth="1"/>
    <col min="13056" max="13056" width="7.33203125" customWidth="1"/>
    <col min="13057" max="13058" width="7.5546875" customWidth="1"/>
    <col min="13059" max="13060" width="9" hidden="1" customWidth="1"/>
    <col min="13061" max="13062" width="5.5546875" customWidth="1"/>
    <col min="13063" max="13063" width="7" customWidth="1"/>
    <col min="13064" max="13065" width="9" hidden="1" customWidth="1"/>
    <col min="13066" max="13066" width="8.88671875" customWidth="1"/>
    <col min="13067" max="13067" width="9.109375"/>
    <col min="13068" max="13077" width="9" hidden="1" customWidth="1"/>
    <col min="13078" max="13286" width="9.109375"/>
    <col min="13287" max="13287" width="3.5546875" customWidth="1"/>
    <col min="13288" max="13288" width="27.109375" customWidth="1"/>
    <col min="13289" max="13289" width="8.109375" customWidth="1"/>
    <col min="13290" max="13290" width="5" customWidth="1"/>
    <col min="13291" max="13291" width="6" customWidth="1"/>
    <col min="13292" max="13294" width="6.5546875" customWidth="1"/>
    <col min="13295" max="13296" width="7.5546875" customWidth="1"/>
    <col min="13297" max="13298" width="9" hidden="1" customWidth="1"/>
    <col min="13299" max="13299" width="7.109375" customWidth="1"/>
    <col min="13300" max="13300" width="7.5546875" customWidth="1"/>
    <col min="13301" max="13302" width="9" hidden="1" customWidth="1"/>
    <col min="13303" max="13303" width="0.109375" customWidth="1"/>
    <col min="13304" max="13304" width="9" hidden="1" customWidth="1"/>
    <col min="13305" max="13305" width="7.5546875" customWidth="1"/>
    <col min="13306" max="13306" width="7.6640625" customWidth="1"/>
    <col min="13307" max="13307" width="8.109375" customWidth="1"/>
    <col min="13308" max="13308" width="7.5546875" customWidth="1"/>
    <col min="13309" max="13310" width="9" hidden="1" customWidth="1"/>
    <col min="13311" max="13311" width="6.5546875" customWidth="1"/>
    <col min="13312" max="13312" width="7.33203125" customWidth="1"/>
    <col min="13313" max="13314" width="7.5546875" customWidth="1"/>
    <col min="13315" max="13316" width="9" hidden="1" customWidth="1"/>
    <col min="13317" max="13318" width="5.5546875" customWidth="1"/>
    <col min="13319" max="13319" width="7" customWidth="1"/>
    <col min="13320" max="13321" width="9" hidden="1" customWidth="1"/>
    <col min="13322" max="13322" width="8.88671875" customWidth="1"/>
    <col min="13323" max="13323" width="9.109375"/>
    <col min="13324" max="13333" width="9" hidden="1" customWidth="1"/>
    <col min="13334" max="13542" width="9.109375"/>
    <col min="13543" max="13543" width="3.5546875" customWidth="1"/>
    <col min="13544" max="13544" width="27.109375" customWidth="1"/>
    <col min="13545" max="13545" width="8.109375" customWidth="1"/>
    <col min="13546" max="13546" width="5" customWidth="1"/>
    <col min="13547" max="13547" width="6" customWidth="1"/>
    <col min="13548" max="13550" width="6.5546875" customWidth="1"/>
    <col min="13551" max="13552" width="7.5546875" customWidth="1"/>
    <col min="13553" max="13554" width="9" hidden="1" customWidth="1"/>
    <col min="13555" max="13555" width="7.109375" customWidth="1"/>
    <col min="13556" max="13556" width="7.5546875" customWidth="1"/>
    <col min="13557" max="13558" width="9" hidden="1" customWidth="1"/>
    <col min="13559" max="13559" width="0.109375" customWidth="1"/>
    <col min="13560" max="13560" width="9" hidden="1" customWidth="1"/>
    <col min="13561" max="13561" width="7.5546875" customWidth="1"/>
    <col min="13562" max="13562" width="7.6640625" customWidth="1"/>
    <col min="13563" max="13563" width="8.109375" customWidth="1"/>
    <col min="13564" max="13564" width="7.5546875" customWidth="1"/>
    <col min="13565" max="13566" width="9" hidden="1" customWidth="1"/>
    <col min="13567" max="13567" width="6.5546875" customWidth="1"/>
    <col min="13568" max="13568" width="7.33203125" customWidth="1"/>
    <col min="13569" max="13570" width="7.5546875" customWidth="1"/>
    <col min="13571" max="13572" width="9" hidden="1" customWidth="1"/>
    <col min="13573" max="13574" width="5.5546875" customWidth="1"/>
    <col min="13575" max="13575" width="7" customWidth="1"/>
    <col min="13576" max="13577" width="9" hidden="1" customWidth="1"/>
    <col min="13578" max="13578" width="8.88671875" customWidth="1"/>
    <col min="13579" max="13579" width="9.109375"/>
    <col min="13580" max="13589" width="9" hidden="1" customWidth="1"/>
    <col min="13590" max="13798" width="9.109375"/>
    <col min="13799" max="13799" width="3.5546875" customWidth="1"/>
    <col min="13800" max="13800" width="27.109375" customWidth="1"/>
    <col min="13801" max="13801" width="8.109375" customWidth="1"/>
    <col min="13802" max="13802" width="5" customWidth="1"/>
    <col min="13803" max="13803" width="6" customWidth="1"/>
    <col min="13804" max="13806" width="6.5546875" customWidth="1"/>
    <col min="13807" max="13808" width="7.5546875" customWidth="1"/>
    <col min="13809" max="13810" width="9" hidden="1" customWidth="1"/>
    <col min="13811" max="13811" width="7.109375" customWidth="1"/>
    <col min="13812" max="13812" width="7.5546875" customWidth="1"/>
    <col min="13813" max="13814" width="9" hidden="1" customWidth="1"/>
    <col min="13815" max="13815" width="0.109375" customWidth="1"/>
    <col min="13816" max="13816" width="9" hidden="1" customWidth="1"/>
    <col min="13817" max="13817" width="7.5546875" customWidth="1"/>
    <col min="13818" max="13818" width="7.6640625" customWidth="1"/>
    <col min="13819" max="13819" width="8.109375" customWidth="1"/>
    <col min="13820" max="13820" width="7.5546875" customWidth="1"/>
    <col min="13821" max="13822" width="9" hidden="1" customWidth="1"/>
    <col min="13823" max="13823" width="6.5546875" customWidth="1"/>
    <col min="13824" max="13824" width="7.33203125" customWidth="1"/>
    <col min="13825" max="13826" width="7.5546875" customWidth="1"/>
    <col min="13827" max="13828" width="9" hidden="1" customWidth="1"/>
    <col min="13829" max="13830" width="5.5546875" customWidth="1"/>
    <col min="13831" max="13831" width="7" customWidth="1"/>
    <col min="13832" max="13833" width="9" hidden="1" customWidth="1"/>
    <col min="13834" max="13834" width="8.88671875" customWidth="1"/>
    <col min="13835" max="13835" width="9.109375"/>
    <col min="13836" max="13845" width="9" hidden="1" customWidth="1"/>
    <col min="13846" max="14054" width="9.109375"/>
    <col min="14055" max="14055" width="3.5546875" customWidth="1"/>
    <col min="14056" max="14056" width="27.109375" customWidth="1"/>
    <col min="14057" max="14057" width="8.109375" customWidth="1"/>
    <col min="14058" max="14058" width="5" customWidth="1"/>
    <col min="14059" max="14059" width="6" customWidth="1"/>
    <col min="14060" max="14062" width="6.5546875" customWidth="1"/>
    <col min="14063" max="14064" width="7.5546875" customWidth="1"/>
    <col min="14065" max="14066" width="9" hidden="1" customWidth="1"/>
    <col min="14067" max="14067" width="7.109375" customWidth="1"/>
    <col min="14068" max="14068" width="7.5546875" customWidth="1"/>
    <col min="14069" max="14070" width="9" hidden="1" customWidth="1"/>
    <col min="14071" max="14071" width="0.109375" customWidth="1"/>
    <col min="14072" max="14072" width="9" hidden="1" customWidth="1"/>
    <col min="14073" max="14073" width="7.5546875" customWidth="1"/>
    <col min="14074" max="14074" width="7.6640625" customWidth="1"/>
    <col min="14075" max="14075" width="8.109375" customWidth="1"/>
    <col min="14076" max="14076" width="7.5546875" customWidth="1"/>
    <col min="14077" max="14078" width="9" hidden="1" customWidth="1"/>
    <col min="14079" max="14079" width="6.5546875" customWidth="1"/>
    <col min="14080" max="14080" width="7.33203125" customWidth="1"/>
    <col min="14081" max="14082" width="7.5546875" customWidth="1"/>
    <col min="14083" max="14084" width="9" hidden="1" customWidth="1"/>
    <col min="14085" max="14086" width="5.5546875" customWidth="1"/>
    <col min="14087" max="14087" width="7" customWidth="1"/>
    <col min="14088" max="14089" width="9" hidden="1" customWidth="1"/>
    <col min="14090" max="14090" width="8.88671875" customWidth="1"/>
    <col min="14091" max="14091" width="9.109375"/>
    <col min="14092" max="14101" width="9" hidden="1" customWidth="1"/>
    <col min="14102" max="14310" width="9.109375"/>
    <col min="14311" max="14311" width="3.5546875" customWidth="1"/>
    <col min="14312" max="14312" width="27.109375" customWidth="1"/>
    <col min="14313" max="14313" width="8.109375" customWidth="1"/>
    <col min="14314" max="14314" width="5" customWidth="1"/>
    <col min="14315" max="14315" width="6" customWidth="1"/>
    <col min="14316" max="14318" width="6.5546875" customWidth="1"/>
    <col min="14319" max="14320" width="7.5546875" customWidth="1"/>
    <col min="14321" max="14322" width="9" hidden="1" customWidth="1"/>
    <col min="14323" max="14323" width="7.109375" customWidth="1"/>
    <col min="14324" max="14324" width="7.5546875" customWidth="1"/>
    <col min="14325" max="14326" width="9" hidden="1" customWidth="1"/>
    <col min="14327" max="14327" width="0.109375" customWidth="1"/>
    <col min="14328" max="14328" width="9" hidden="1" customWidth="1"/>
    <col min="14329" max="14329" width="7.5546875" customWidth="1"/>
    <col min="14330" max="14330" width="7.6640625" customWidth="1"/>
    <col min="14331" max="14331" width="8.109375" customWidth="1"/>
    <col min="14332" max="14332" width="7.5546875" customWidth="1"/>
    <col min="14333" max="14334" width="9" hidden="1" customWidth="1"/>
    <col min="14335" max="14335" width="6.5546875" customWidth="1"/>
    <col min="14336" max="14336" width="7.33203125" customWidth="1"/>
    <col min="14337" max="14338" width="7.5546875" customWidth="1"/>
    <col min="14339" max="14340" width="9" hidden="1" customWidth="1"/>
    <col min="14341" max="14342" width="5.5546875" customWidth="1"/>
    <col min="14343" max="14343" width="7" customWidth="1"/>
    <col min="14344" max="14345" width="9" hidden="1" customWidth="1"/>
    <col min="14346" max="14346" width="8.88671875" customWidth="1"/>
    <col min="14347" max="14347" width="9.109375"/>
    <col min="14348" max="14357" width="9" hidden="1" customWidth="1"/>
    <col min="14358" max="14566" width="9.109375"/>
    <col min="14567" max="14567" width="3.5546875" customWidth="1"/>
    <col min="14568" max="14568" width="27.109375" customWidth="1"/>
    <col min="14569" max="14569" width="8.109375" customWidth="1"/>
    <col min="14570" max="14570" width="5" customWidth="1"/>
    <col min="14571" max="14571" width="6" customWidth="1"/>
    <col min="14572" max="14574" width="6.5546875" customWidth="1"/>
    <col min="14575" max="14576" width="7.5546875" customWidth="1"/>
    <col min="14577" max="14578" width="9" hidden="1" customWidth="1"/>
    <col min="14579" max="14579" width="7.109375" customWidth="1"/>
    <col min="14580" max="14580" width="7.5546875" customWidth="1"/>
    <col min="14581" max="14582" width="9" hidden="1" customWidth="1"/>
    <col min="14583" max="14583" width="0.109375" customWidth="1"/>
    <col min="14584" max="14584" width="9" hidden="1" customWidth="1"/>
    <col min="14585" max="14585" width="7.5546875" customWidth="1"/>
    <col min="14586" max="14586" width="7.6640625" customWidth="1"/>
    <col min="14587" max="14587" width="8.109375" customWidth="1"/>
    <col min="14588" max="14588" width="7.5546875" customWidth="1"/>
    <col min="14589" max="14590" width="9" hidden="1" customWidth="1"/>
    <col min="14591" max="14591" width="6.5546875" customWidth="1"/>
    <col min="14592" max="14592" width="7.33203125" customWidth="1"/>
    <col min="14593" max="14594" width="7.5546875" customWidth="1"/>
    <col min="14595" max="14596" width="9" hidden="1" customWidth="1"/>
    <col min="14597" max="14598" width="5.5546875" customWidth="1"/>
    <col min="14599" max="14599" width="7" customWidth="1"/>
    <col min="14600" max="14601" width="9" hidden="1" customWidth="1"/>
    <col min="14602" max="14602" width="8.88671875" customWidth="1"/>
    <col min="14603" max="14603" width="9.109375"/>
    <col min="14604" max="14613" width="9" hidden="1" customWidth="1"/>
    <col min="14614" max="14822" width="9.109375"/>
    <col min="14823" max="14823" width="3.5546875" customWidth="1"/>
    <col min="14824" max="14824" width="27.109375" customWidth="1"/>
    <col min="14825" max="14825" width="8.109375" customWidth="1"/>
    <col min="14826" max="14826" width="5" customWidth="1"/>
    <col min="14827" max="14827" width="6" customWidth="1"/>
    <col min="14828" max="14830" width="6.5546875" customWidth="1"/>
    <col min="14831" max="14832" width="7.5546875" customWidth="1"/>
    <col min="14833" max="14834" width="9" hidden="1" customWidth="1"/>
    <col min="14835" max="14835" width="7.109375" customWidth="1"/>
    <col min="14836" max="14836" width="7.5546875" customWidth="1"/>
    <col min="14837" max="14838" width="9" hidden="1" customWidth="1"/>
    <col min="14839" max="14839" width="0.109375" customWidth="1"/>
    <col min="14840" max="14840" width="9" hidden="1" customWidth="1"/>
    <col min="14841" max="14841" width="7.5546875" customWidth="1"/>
    <col min="14842" max="14842" width="7.6640625" customWidth="1"/>
    <col min="14843" max="14843" width="8.109375" customWidth="1"/>
    <col min="14844" max="14844" width="7.5546875" customWidth="1"/>
    <col min="14845" max="14846" width="9" hidden="1" customWidth="1"/>
    <col min="14847" max="14847" width="6.5546875" customWidth="1"/>
    <col min="14848" max="14848" width="7.33203125" customWidth="1"/>
    <col min="14849" max="14850" width="7.5546875" customWidth="1"/>
    <col min="14851" max="14852" width="9" hidden="1" customWidth="1"/>
    <col min="14853" max="14854" width="5.5546875" customWidth="1"/>
    <col min="14855" max="14855" width="7" customWidth="1"/>
    <col min="14856" max="14857" width="9" hidden="1" customWidth="1"/>
    <col min="14858" max="14858" width="8.88671875" customWidth="1"/>
    <col min="14859" max="14859" width="9.109375"/>
    <col min="14860" max="14869" width="9" hidden="1" customWidth="1"/>
    <col min="14870" max="15078" width="9.109375"/>
    <col min="15079" max="15079" width="3.5546875" customWidth="1"/>
    <col min="15080" max="15080" width="27.109375" customWidth="1"/>
    <col min="15081" max="15081" width="8.109375" customWidth="1"/>
    <col min="15082" max="15082" width="5" customWidth="1"/>
    <col min="15083" max="15083" width="6" customWidth="1"/>
    <col min="15084" max="15086" width="6.5546875" customWidth="1"/>
    <col min="15087" max="15088" width="7.5546875" customWidth="1"/>
    <col min="15089" max="15090" width="9" hidden="1" customWidth="1"/>
    <col min="15091" max="15091" width="7.109375" customWidth="1"/>
    <col min="15092" max="15092" width="7.5546875" customWidth="1"/>
    <col min="15093" max="15094" width="9" hidden="1" customWidth="1"/>
    <col min="15095" max="15095" width="0.109375" customWidth="1"/>
    <col min="15096" max="15096" width="9" hidden="1" customWidth="1"/>
    <col min="15097" max="15097" width="7.5546875" customWidth="1"/>
    <col min="15098" max="15098" width="7.6640625" customWidth="1"/>
    <col min="15099" max="15099" width="8.109375" customWidth="1"/>
    <col min="15100" max="15100" width="7.5546875" customWidth="1"/>
    <col min="15101" max="15102" width="9" hidden="1" customWidth="1"/>
    <col min="15103" max="15103" width="6.5546875" customWidth="1"/>
    <col min="15104" max="15104" width="7.33203125" customWidth="1"/>
    <col min="15105" max="15106" width="7.5546875" customWidth="1"/>
    <col min="15107" max="15108" width="9" hidden="1" customWidth="1"/>
    <col min="15109" max="15110" width="5.5546875" customWidth="1"/>
    <col min="15111" max="15111" width="7" customWidth="1"/>
    <col min="15112" max="15113" width="9" hidden="1" customWidth="1"/>
    <col min="15114" max="15114" width="8.88671875" customWidth="1"/>
    <col min="15115" max="15115" width="9.109375"/>
    <col min="15116" max="15125" width="9" hidden="1" customWidth="1"/>
    <col min="15126" max="15334" width="9.109375"/>
    <col min="15335" max="15335" width="3.5546875" customWidth="1"/>
    <col min="15336" max="15336" width="27.109375" customWidth="1"/>
    <col min="15337" max="15337" width="8.109375" customWidth="1"/>
    <col min="15338" max="15338" width="5" customWidth="1"/>
    <col min="15339" max="15339" width="6" customWidth="1"/>
    <col min="15340" max="15342" width="6.5546875" customWidth="1"/>
    <col min="15343" max="15344" width="7.5546875" customWidth="1"/>
    <col min="15345" max="15346" width="9" hidden="1" customWidth="1"/>
    <col min="15347" max="15347" width="7.109375" customWidth="1"/>
    <col min="15348" max="15348" width="7.5546875" customWidth="1"/>
    <col min="15349" max="15350" width="9" hidden="1" customWidth="1"/>
    <col min="15351" max="15351" width="0.109375" customWidth="1"/>
    <col min="15352" max="15352" width="9" hidden="1" customWidth="1"/>
    <col min="15353" max="15353" width="7.5546875" customWidth="1"/>
    <col min="15354" max="15354" width="7.6640625" customWidth="1"/>
    <col min="15355" max="15355" width="8.109375" customWidth="1"/>
    <col min="15356" max="15356" width="7.5546875" customWidth="1"/>
    <col min="15357" max="15358" width="9" hidden="1" customWidth="1"/>
    <col min="15359" max="15359" width="6.5546875" customWidth="1"/>
    <col min="15360" max="15360" width="7.33203125" customWidth="1"/>
    <col min="15361" max="15362" width="7.5546875" customWidth="1"/>
    <col min="15363" max="15364" width="9" hidden="1" customWidth="1"/>
    <col min="15365" max="15366" width="5.5546875" customWidth="1"/>
    <col min="15367" max="15367" width="7" customWidth="1"/>
    <col min="15368" max="15369" width="9" hidden="1" customWidth="1"/>
    <col min="15370" max="15370" width="8.88671875" customWidth="1"/>
    <col min="15371" max="15371" width="9.109375"/>
    <col min="15372" max="15381" width="9" hidden="1" customWidth="1"/>
    <col min="15382" max="15590" width="9.109375"/>
    <col min="15591" max="15591" width="3.5546875" customWidth="1"/>
    <col min="15592" max="15592" width="27.109375" customWidth="1"/>
    <col min="15593" max="15593" width="8.109375" customWidth="1"/>
    <col min="15594" max="15594" width="5" customWidth="1"/>
    <col min="15595" max="15595" width="6" customWidth="1"/>
    <col min="15596" max="15598" width="6.5546875" customWidth="1"/>
    <col min="15599" max="15600" width="7.5546875" customWidth="1"/>
    <col min="15601" max="15602" width="9" hidden="1" customWidth="1"/>
    <col min="15603" max="15603" width="7.109375" customWidth="1"/>
    <col min="15604" max="15604" width="7.5546875" customWidth="1"/>
    <col min="15605" max="15606" width="9" hidden="1" customWidth="1"/>
    <col min="15607" max="15607" width="0.109375" customWidth="1"/>
    <col min="15608" max="15608" width="9" hidden="1" customWidth="1"/>
    <col min="15609" max="15609" width="7.5546875" customWidth="1"/>
    <col min="15610" max="15610" width="7.6640625" customWidth="1"/>
    <col min="15611" max="15611" width="8.109375" customWidth="1"/>
    <col min="15612" max="15612" width="7.5546875" customWidth="1"/>
    <col min="15613" max="15614" width="9" hidden="1" customWidth="1"/>
    <col min="15615" max="15615" width="6.5546875" customWidth="1"/>
    <col min="15616" max="15616" width="7.33203125" customWidth="1"/>
    <col min="15617" max="15618" width="7.5546875" customWidth="1"/>
    <col min="15619" max="15620" width="9" hidden="1" customWidth="1"/>
    <col min="15621" max="15622" width="5.5546875" customWidth="1"/>
    <col min="15623" max="15623" width="7" customWidth="1"/>
    <col min="15624" max="15625" width="9" hidden="1" customWidth="1"/>
    <col min="15626" max="15626" width="8.88671875" customWidth="1"/>
    <col min="15627" max="15627" width="9.109375"/>
    <col min="15628" max="15637" width="9" hidden="1" customWidth="1"/>
    <col min="15638" max="15846" width="9.109375"/>
    <col min="15847" max="15847" width="3.5546875" customWidth="1"/>
    <col min="15848" max="15848" width="27.109375" customWidth="1"/>
    <col min="15849" max="15849" width="8.109375" customWidth="1"/>
    <col min="15850" max="15850" width="5" customWidth="1"/>
    <col min="15851" max="15851" width="6" customWidth="1"/>
    <col min="15852" max="15854" width="6.5546875" customWidth="1"/>
    <col min="15855" max="15856" width="7.5546875" customWidth="1"/>
    <col min="15857" max="15858" width="9" hidden="1" customWidth="1"/>
    <col min="15859" max="15859" width="7.109375" customWidth="1"/>
    <col min="15860" max="15860" width="7.5546875" customWidth="1"/>
    <col min="15861" max="15862" width="9" hidden="1" customWidth="1"/>
    <col min="15863" max="15863" width="0.109375" customWidth="1"/>
    <col min="15864" max="15864" width="9" hidden="1" customWidth="1"/>
    <col min="15865" max="15865" width="7.5546875" customWidth="1"/>
    <col min="15866" max="15866" width="7.6640625" customWidth="1"/>
    <col min="15867" max="15867" width="8.109375" customWidth="1"/>
    <col min="15868" max="15868" width="7.5546875" customWidth="1"/>
    <col min="15869" max="15870" width="9" hidden="1" customWidth="1"/>
    <col min="15871" max="15871" width="6.5546875" customWidth="1"/>
    <col min="15872" max="15872" width="7.33203125" customWidth="1"/>
    <col min="15873" max="15874" width="7.5546875" customWidth="1"/>
    <col min="15875" max="15876" width="9" hidden="1" customWidth="1"/>
    <col min="15877" max="15878" width="5.5546875" customWidth="1"/>
    <col min="15879" max="15879" width="7" customWidth="1"/>
    <col min="15880" max="15881" width="9" hidden="1" customWidth="1"/>
    <col min="15882" max="15882" width="8.88671875" customWidth="1"/>
    <col min="15883" max="15883" width="9.109375"/>
    <col min="15884" max="15893" width="9" hidden="1" customWidth="1"/>
    <col min="15894" max="16102" width="9.109375"/>
    <col min="16103" max="16103" width="3.5546875" customWidth="1"/>
    <col min="16104" max="16104" width="27.109375" customWidth="1"/>
    <col min="16105" max="16105" width="8.109375" customWidth="1"/>
    <col min="16106" max="16106" width="5" customWidth="1"/>
    <col min="16107" max="16107" width="6" customWidth="1"/>
    <col min="16108" max="16110" width="6.5546875" customWidth="1"/>
    <col min="16111" max="16112" width="7.5546875" customWidth="1"/>
    <col min="16113" max="16114" width="9" hidden="1" customWidth="1"/>
    <col min="16115" max="16115" width="7.109375" customWidth="1"/>
    <col min="16116" max="16116" width="7.5546875" customWidth="1"/>
    <col min="16117" max="16118" width="9" hidden="1" customWidth="1"/>
    <col min="16119" max="16119" width="0.109375" customWidth="1"/>
    <col min="16120" max="16120" width="9" hidden="1" customWidth="1"/>
    <col min="16121" max="16121" width="7.5546875" customWidth="1"/>
    <col min="16122" max="16122" width="7.6640625" customWidth="1"/>
    <col min="16123" max="16123" width="8.109375" customWidth="1"/>
    <col min="16124" max="16124" width="7.5546875" customWidth="1"/>
    <col min="16125" max="16126" width="9" hidden="1" customWidth="1"/>
    <col min="16127" max="16127" width="6.5546875" customWidth="1"/>
    <col min="16128" max="16128" width="7.33203125" customWidth="1"/>
    <col min="16129" max="16130" width="7.5546875" customWidth="1"/>
    <col min="16131" max="16132" width="9" hidden="1" customWidth="1"/>
    <col min="16133" max="16134" width="5.5546875" customWidth="1"/>
    <col min="16135" max="16135" width="7" customWidth="1"/>
    <col min="16136" max="16137" width="9" hidden="1" customWidth="1"/>
    <col min="16138" max="16138" width="8.88671875" customWidth="1"/>
    <col min="16139" max="16139" width="9.109375"/>
    <col min="16140" max="16149" width="9" hidden="1" customWidth="1"/>
    <col min="16150" max="16384" width="9.109375"/>
  </cols>
  <sheetData>
    <row r="1" spans="1:32" s="1" customFormat="1" ht="16.5" customHeight="1">
      <c r="A1" s="6"/>
      <c r="B1" s="88" t="s">
        <v>4</v>
      </c>
      <c r="C1" s="210" t="s">
        <v>5</v>
      </c>
      <c r="D1" s="89"/>
      <c r="E1" s="90" t="s">
        <v>6</v>
      </c>
      <c r="F1" s="187">
        <v>2</v>
      </c>
      <c r="G1" s="91"/>
      <c r="H1" s="90" t="s">
        <v>7</v>
      </c>
      <c r="I1" s="213"/>
      <c r="J1" s="213"/>
      <c r="K1" s="213"/>
      <c r="L1" s="213"/>
      <c r="M1" s="92"/>
      <c r="N1" s="92"/>
      <c r="O1" s="92"/>
      <c r="P1" s="93"/>
      <c r="Q1" s="93"/>
      <c r="R1" s="93"/>
      <c r="S1" s="93"/>
      <c r="T1" s="214"/>
      <c r="U1" s="215"/>
      <c r="V1" s="94"/>
      <c r="X1" s="188">
        <v>1</v>
      </c>
      <c r="AC1" s="95"/>
    </row>
    <row r="2" spans="1:32" s="1" customFormat="1" ht="13.8">
      <c r="A2" s="14"/>
      <c r="B2" s="15" t="s">
        <v>8</v>
      </c>
      <c r="C2" s="189" t="s">
        <v>9</v>
      </c>
      <c r="D2" s="22"/>
      <c r="E2" s="22"/>
      <c r="F2" s="22"/>
      <c r="G2" s="22"/>
      <c r="H2" s="22"/>
      <c r="I2" s="22"/>
      <c r="J2" s="24"/>
      <c r="K2" s="24"/>
      <c r="L2" s="24"/>
      <c r="M2" s="24"/>
      <c r="N2" s="24"/>
      <c r="O2" s="34"/>
      <c r="P2" s="24"/>
      <c r="Q2" s="24"/>
      <c r="R2" s="24"/>
      <c r="S2" s="24"/>
      <c r="T2" s="24"/>
      <c r="U2" s="39"/>
      <c r="AC2" s="95"/>
    </row>
    <row r="3" spans="1:32" s="1" customFormat="1" ht="12">
      <c r="A3" s="14"/>
      <c r="B3" s="15" t="s">
        <v>10</v>
      </c>
      <c r="C3" s="96" t="s">
        <v>11</v>
      </c>
      <c r="D3" s="96"/>
      <c r="E3" s="97" t="s">
        <v>12</v>
      </c>
      <c r="F3" s="190" t="s">
        <v>13</v>
      </c>
      <c r="G3" s="96"/>
      <c r="H3" s="96"/>
      <c r="I3" s="36"/>
      <c r="J3" s="98"/>
      <c r="K3" s="37"/>
      <c r="L3" s="37"/>
      <c r="M3" s="37"/>
      <c r="N3" s="37"/>
      <c r="O3" s="37"/>
      <c r="P3" s="37"/>
      <c r="Q3" s="37"/>
      <c r="R3" s="37"/>
      <c r="S3" s="37"/>
      <c r="T3" s="37"/>
      <c r="U3" s="99"/>
      <c r="V3" s="100"/>
      <c r="AC3" s="95"/>
    </row>
    <row r="4" spans="1:32" s="1" customFormat="1" ht="15" customHeight="1">
      <c r="A4" s="14"/>
      <c r="B4" s="15"/>
      <c r="C4" s="23"/>
      <c r="D4" s="29"/>
      <c r="E4" s="101"/>
      <c r="F4" s="101"/>
      <c r="G4" s="24"/>
      <c r="H4" s="23"/>
      <c r="I4" s="29"/>
      <c r="J4" s="29"/>
      <c r="K4" s="102"/>
      <c r="L4" s="103"/>
      <c r="M4" s="102"/>
      <c r="N4" s="103"/>
      <c r="O4" s="103"/>
      <c r="P4" s="102"/>
      <c r="Q4" s="103"/>
      <c r="R4" s="102"/>
      <c r="S4" s="16"/>
      <c r="T4" s="16"/>
      <c r="U4" s="104"/>
      <c r="V4" s="105"/>
      <c r="AC4" s="95"/>
    </row>
    <row r="5" spans="1:32" s="1" customFormat="1" ht="12">
      <c r="A5" s="14"/>
      <c r="B5" s="15" t="s">
        <v>14</v>
      </c>
      <c r="C5" s="23" t="s">
        <v>15</v>
      </c>
      <c r="D5" s="29" t="s">
        <v>16</v>
      </c>
      <c r="E5" s="101"/>
      <c r="F5" s="101"/>
      <c r="G5" s="24"/>
      <c r="H5" s="23"/>
      <c r="I5" s="29"/>
      <c r="J5" s="29"/>
      <c r="K5" s="102"/>
      <c r="L5" s="102"/>
      <c r="M5" s="103"/>
      <c r="N5" s="106"/>
      <c r="O5" s="106"/>
      <c r="P5" s="107" t="s">
        <v>17</v>
      </c>
      <c r="Q5" s="108"/>
      <c r="R5" s="109"/>
      <c r="S5" s="24"/>
      <c r="T5" s="24"/>
      <c r="U5" s="110"/>
      <c r="V5" s="100"/>
      <c r="AC5" s="95"/>
    </row>
    <row r="6" spans="1:32" s="1" customFormat="1" ht="12">
      <c r="A6" s="14"/>
      <c r="B6" s="111"/>
      <c r="C6" s="23" t="s">
        <v>18</v>
      </c>
      <c r="D6" s="29" t="s">
        <v>19</v>
      </c>
      <c r="E6" s="24"/>
      <c r="F6" s="24"/>
      <c r="G6" s="24"/>
      <c r="H6" s="23"/>
      <c r="I6" s="29"/>
      <c r="J6" s="24"/>
      <c r="K6" s="102"/>
      <c r="L6" s="102"/>
      <c r="M6" s="112"/>
      <c r="N6" s="191">
        <v>0.33</v>
      </c>
      <c r="O6" s="106"/>
      <c r="P6" s="113" t="s">
        <v>20</v>
      </c>
      <c r="Q6" s="114">
        <f>COUNTIF(U15:U59,"drp")</f>
        <v>0</v>
      </c>
      <c r="R6" s="115">
        <f>IF($Q$10&gt;0,(Q6/$Q$10)*100,0)</f>
        <v>0</v>
      </c>
      <c r="S6" s="24"/>
      <c r="T6" s="24"/>
      <c r="U6" s="110"/>
      <c r="V6" s="100"/>
      <c r="AC6" s="95"/>
    </row>
    <row r="7" spans="1:32" s="1" customFormat="1" ht="12">
      <c r="A7" s="14"/>
      <c r="B7" s="24"/>
      <c r="C7" s="23" t="s">
        <v>21</v>
      </c>
      <c r="D7" s="29" t="s">
        <v>22</v>
      </c>
      <c r="E7" s="101"/>
      <c r="F7" s="101"/>
      <c r="G7" s="24"/>
      <c r="H7" s="23"/>
      <c r="I7" s="29"/>
      <c r="J7" s="24"/>
      <c r="K7" s="102"/>
      <c r="L7" s="102"/>
      <c r="M7" s="112"/>
      <c r="N7" s="191">
        <v>0.67</v>
      </c>
      <c r="O7" s="106"/>
      <c r="P7" s="116" t="s">
        <v>23</v>
      </c>
      <c r="Q7" s="114">
        <f>COUNTIF(U15:U59,"inc")</f>
        <v>0</v>
      </c>
      <c r="R7" s="117">
        <f>IF($Q$10&gt;0,(Q7/$Q$10)*100,0)</f>
        <v>0</v>
      </c>
      <c r="S7" s="101"/>
      <c r="T7" s="29"/>
      <c r="U7" s="110"/>
      <c r="V7" s="100"/>
      <c r="AC7" s="95"/>
    </row>
    <row r="8" spans="1:32" s="1" customFormat="1" ht="12">
      <c r="A8" s="14"/>
      <c r="B8" s="26"/>
      <c r="C8" s="192" t="s">
        <v>24</v>
      </c>
      <c r="D8" s="120">
        <v>0.5</v>
      </c>
      <c r="E8" s="40" t="s">
        <v>25</v>
      </c>
      <c r="F8" s="193"/>
      <c r="G8" s="194"/>
      <c r="H8" s="195"/>
      <c r="I8" s="196"/>
      <c r="J8" s="19"/>
      <c r="K8" s="123"/>
      <c r="L8" s="106"/>
      <c r="M8" s="112"/>
      <c r="N8" s="191">
        <v>1</v>
      </c>
      <c r="O8" s="106"/>
      <c r="P8" s="116" t="s">
        <v>26</v>
      </c>
      <c r="Q8" s="114">
        <f>COUNTIF(U15:U59,"Pass")</f>
        <v>0</v>
      </c>
      <c r="R8" s="117">
        <f>IF($Q$10&gt;0,(Q8/$Q$10)*100,0)</f>
        <v>0</v>
      </c>
      <c r="S8" s="101"/>
      <c r="T8" s="29"/>
      <c r="U8" s="110"/>
      <c r="V8" s="100"/>
      <c r="AC8" s="95"/>
    </row>
    <row r="9" spans="1:32" s="1" customFormat="1" ht="12">
      <c r="A9" s="14"/>
      <c r="B9" s="195"/>
      <c r="C9" s="192" t="s">
        <v>27</v>
      </c>
      <c r="D9" s="124">
        <v>75</v>
      </c>
      <c r="E9" s="40"/>
      <c r="F9" s="192" t="s">
        <v>28</v>
      </c>
      <c r="G9" s="125">
        <v>60</v>
      </c>
      <c r="H9" s="9"/>
      <c r="I9" s="192" t="s">
        <v>29</v>
      </c>
      <c r="J9" s="124">
        <v>100</v>
      </c>
      <c r="K9" s="123"/>
      <c r="L9" s="106"/>
      <c r="M9" s="106"/>
      <c r="N9" s="106"/>
      <c r="O9" s="106"/>
      <c r="P9" s="116" t="s">
        <v>30</v>
      </c>
      <c r="Q9" s="114">
        <f>COUNTIF(U15:U59,"Fail")</f>
        <v>0</v>
      </c>
      <c r="R9" s="117">
        <f>IF($Q$10&gt;0,(Q9/$Q$10)*100,0)</f>
        <v>0</v>
      </c>
      <c r="S9" s="101"/>
      <c r="T9" s="29"/>
      <c r="U9" s="110"/>
      <c r="V9" s="100"/>
      <c r="AC9" s="95"/>
    </row>
    <row r="10" spans="1:32" s="1" customFormat="1" ht="13.8">
      <c r="A10" s="14"/>
      <c r="B10" s="111"/>
      <c r="C10" s="15" t="s">
        <v>31</v>
      </c>
      <c r="D10" s="126">
        <v>14</v>
      </c>
      <c r="E10" s="29"/>
      <c r="F10" s="101"/>
      <c r="G10" s="127"/>
      <c r="H10" s="102"/>
      <c r="I10" s="29"/>
      <c r="J10" s="15"/>
      <c r="K10" s="102"/>
      <c r="L10" s="106"/>
      <c r="M10" s="106"/>
      <c r="N10" s="106"/>
      <c r="O10" s="106"/>
      <c r="P10" s="128" t="s">
        <v>32</v>
      </c>
      <c r="Q10" s="128">
        <f>SUM(Q5:Q9)</f>
        <v>0</v>
      </c>
      <c r="R10" s="118"/>
      <c r="S10" s="101"/>
      <c r="T10" s="29"/>
      <c r="U10" s="110"/>
      <c r="V10" s="100"/>
      <c r="AC10" s="95"/>
    </row>
    <row r="11" spans="1:32" s="1" customFormat="1" ht="12">
      <c r="A11" s="129"/>
      <c r="B11" s="216"/>
      <c r="C11" s="216"/>
      <c r="D11" s="130"/>
      <c r="E11" s="131"/>
      <c r="F11" s="132"/>
      <c r="G11" s="132"/>
      <c r="H11" s="133"/>
      <c r="I11" s="131"/>
      <c r="J11" s="134"/>
      <c r="K11" s="134"/>
      <c r="L11" s="131"/>
      <c r="M11" s="131"/>
      <c r="N11" s="131"/>
      <c r="O11" s="131"/>
      <c r="P11" s="132"/>
      <c r="Q11" s="132"/>
      <c r="R11" s="132"/>
      <c r="S11" s="132"/>
      <c r="T11" s="131"/>
      <c r="U11" s="135"/>
      <c r="V11" s="100"/>
      <c r="W11" s="136" t="s">
        <v>33</v>
      </c>
      <c r="Y11" s="136" t="s">
        <v>34</v>
      </c>
      <c r="AB11" s="136" t="s">
        <v>35</v>
      </c>
      <c r="AE11" s="95" t="s">
        <v>2</v>
      </c>
    </row>
    <row r="12" spans="1:32" ht="14.25" customHeight="1">
      <c r="A12" s="221" t="s">
        <v>36</v>
      </c>
      <c r="B12" s="224" t="s">
        <v>37</v>
      </c>
      <c r="C12" s="226" t="s">
        <v>38</v>
      </c>
      <c r="D12" s="217">
        <v>0.1</v>
      </c>
      <c r="E12" s="218"/>
      <c r="F12" s="137">
        <v>0</v>
      </c>
      <c r="G12" s="138">
        <v>0</v>
      </c>
      <c r="H12" s="139" t="s">
        <v>39</v>
      </c>
      <c r="I12" s="140">
        <v>20</v>
      </c>
      <c r="J12" s="139" t="s">
        <v>40</v>
      </c>
      <c r="K12" s="140">
        <v>35</v>
      </c>
      <c r="L12" s="141">
        <v>0.2</v>
      </c>
      <c r="M12" s="142" t="s">
        <v>41</v>
      </c>
      <c r="N12" s="143">
        <v>100</v>
      </c>
      <c r="O12" s="141">
        <v>0.3</v>
      </c>
      <c r="P12" s="139" t="s">
        <v>42</v>
      </c>
      <c r="Q12" s="144">
        <v>100</v>
      </c>
      <c r="R12" s="145">
        <v>0.4</v>
      </c>
      <c r="S12" s="219" t="s">
        <v>43</v>
      </c>
      <c r="T12" s="220"/>
      <c r="U12" s="146">
        <f>R12+O12+L12+G12+F12+D12</f>
        <v>1</v>
      </c>
      <c r="V12" s="147"/>
      <c r="W12" s="87" t="s">
        <v>44</v>
      </c>
      <c r="X12">
        <f>D8*I12</f>
        <v>10</v>
      </c>
      <c r="Y12" s="87" t="s">
        <v>44</v>
      </c>
      <c r="Z12">
        <f>D8*K12</f>
        <v>17.5</v>
      </c>
      <c r="AB12" s="87" t="s">
        <v>44</v>
      </c>
      <c r="AC12">
        <f>D8*N12</f>
        <v>50</v>
      </c>
      <c r="AE12" s="87" t="s">
        <v>24</v>
      </c>
      <c r="AF12" s="148">
        <f>D8*Q12</f>
        <v>50</v>
      </c>
    </row>
    <row r="13" spans="1:32" ht="13.5" customHeight="1">
      <c r="A13" s="222"/>
      <c r="B13" s="225"/>
      <c r="C13" s="227"/>
      <c r="D13" s="229" t="s">
        <v>45</v>
      </c>
      <c r="E13" s="231" t="s">
        <v>15</v>
      </c>
      <c r="F13" s="233" t="s">
        <v>46</v>
      </c>
      <c r="G13" s="235" t="s">
        <v>47</v>
      </c>
      <c r="H13" s="237" t="s">
        <v>48</v>
      </c>
      <c r="I13" s="239" t="s">
        <v>15</v>
      </c>
      <c r="J13" s="237" t="s">
        <v>48</v>
      </c>
      <c r="K13" s="241" t="s">
        <v>15</v>
      </c>
      <c r="L13" s="243" t="s">
        <v>49</v>
      </c>
      <c r="M13" s="237" t="s">
        <v>50</v>
      </c>
      <c r="N13" s="245" t="s">
        <v>15</v>
      </c>
      <c r="O13" s="247" t="s">
        <v>15</v>
      </c>
      <c r="P13" s="237" t="s">
        <v>48</v>
      </c>
      <c r="Q13" s="245" t="s">
        <v>15</v>
      </c>
      <c r="R13" s="247" t="s">
        <v>2</v>
      </c>
      <c r="S13" s="249" t="s">
        <v>51</v>
      </c>
      <c r="T13" s="251" t="s">
        <v>52</v>
      </c>
      <c r="U13" s="252"/>
      <c r="V13" s="149"/>
      <c r="W13" s="87" t="s">
        <v>53</v>
      </c>
      <c r="X13">
        <f>PFactor/I12</f>
        <v>2.5</v>
      </c>
      <c r="Y13" s="87" t="s">
        <v>53</v>
      </c>
      <c r="Z13">
        <f>(PFactor/K12)</f>
        <v>1.4285714285714299</v>
      </c>
      <c r="AB13" s="87" t="s">
        <v>53</v>
      </c>
      <c r="AC13">
        <f>(J9-75)/((1-D8)*N12)</f>
        <v>0.5</v>
      </c>
      <c r="AE13" s="87" t="s">
        <v>53</v>
      </c>
      <c r="AF13" s="150">
        <f>(PFactor/Q12)</f>
        <v>0.5</v>
      </c>
    </row>
    <row r="14" spans="1:32" ht="13.5" customHeight="1">
      <c r="A14" s="223"/>
      <c r="B14" s="197" t="s">
        <v>54</v>
      </c>
      <c r="C14" s="228"/>
      <c r="D14" s="230"/>
      <c r="E14" s="232"/>
      <c r="F14" s="234"/>
      <c r="G14" s="236"/>
      <c r="H14" s="238"/>
      <c r="I14" s="240"/>
      <c r="J14" s="238"/>
      <c r="K14" s="242"/>
      <c r="L14" s="244"/>
      <c r="M14" s="238"/>
      <c r="N14" s="246"/>
      <c r="O14" s="248"/>
      <c r="P14" s="238"/>
      <c r="Q14" s="246"/>
      <c r="R14" s="248"/>
      <c r="S14" s="250"/>
      <c r="T14" s="253"/>
      <c r="U14" s="254"/>
      <c r="V14" s="149"/>
      <c r="W14" s="87" t="s">
        <v>55</v>
      </c>
      <c r="X14">
        <f>(75-G9)/(D8*I12)</f>
        <v>1.5</v>
      </c>
      <c r="Y14" s="87" t="s">
        <v>55</v>
      </c>
      <c r="Z14">
        <f>(75-G9)/(D8*K12)</f>
        <v>0.85714285714285698</v>
      </c>
      <c r="AB14" s="87" t="s">
        <v>55</v>
      </c>
      <c r="AC14">
        <f>(75-G9)/(D8*N12)</f>
        <v>0.3</v>
      </c>
      <c r="AE14" s="87" t="s">
        <v>55</v>
      </c>
      <c r="AF14" s="150">
        <f>(75-G9)/(D8*Q12)</f>
        <v>0.3</v>
      </c>
    </row>
    <row r="15" spans="1:32" ht="11.25" customHeight="1">
      <c r="A15" s="152" t="str">
        <f>IF(ISNONTEXT(B15),"",1)</f>
        <v/>
      </c>
      <c r="B15" s="153"/>
      <c r="C15" s="154"/>
      <c r="D15" s="155"/>
      <c r="E15" s="156">
        <f>(($D$12*$J$9)/$D$10)*($D$10-D15)</f>
        <v>10</v>
      </c>
      <c r="F15" s="155"/>
      <c r="G15" s="155">
        <v>60</v>
      </c>
      <c r="H15" s="198"/>
      <c r="I15" s="158">
        <f>H15/I12*50+50</f>
        <v>50</v>
      </c>
      <c r="J15" s="198"/>
      <c r="K15" s="158">
        <f>J15/K12*50+50</f>
        <v>50</v>
      </c>
      <c r="L15" s="160">
        <f>IF($L$12=0,0,AVERAGE(I15,K15)*$L$12)</f>
        <v>10</v>
      </c>
      <c r="M15" s="155">
        <v>50</v>
      </c>
      <c r="N15" s="158">
        <f>IF($O$12="0"," ",Transmute)</f>
        <v>75</v>
      </c>
      <c r="O15" s="162">
        <f>IF($O$12=0,0,M15*$O$12)</f>
        <v>15</v>
      </c>
      <c r="P15" s="155"/>
      <c r="Q15" s="158">
        <f>P15/Q12*50+50</f>
        <v>50</v>
      </c>
      <c r="R15" s="199">
        <f>Q15*$R$12</f>
        <v>20</v>
      </c>
      <c r="S15" s="200" t="str">
        <f t="shared" ref="S15:S16" si="0">IF(ISNUMBER(T15),VLOOKUP(T15,EQTable,2),T15)</f>
        <v/>
      </c>
      <c r="T15" s="201" t="str">
        <f t="shared" ref="T15:T59" si="1">IF(ISNONTEXT(B15),"",IF(C15="drp","drp",IF(Incomplete,"inc",ComputedGrade)))</f>
        <v/>
      </c>
      <c r="U15" s="167" t="str">
        <f>IF($D15&gt;10,"drp",IF(ISNUMBER(T15),IF(T15&gt;=75,"Pass","Fail"),T15))</f>
        <v/>
      </c>
      <c r="V15" s="168"/>
    </row>
    <row r="16" spans="1:32" ht="11.25" customHeight="1">
      <c r="A16" s="169" t="str">
        <f>IF(ISNONTEXT(B16),"",A15+1)</f>
        <v/>
      </c>
      <c r="B16" s="153"/>
      <c r="C16" s="170"/>
      <c r="D16" s="155"/>
      <c r="E16" s="156">
        <f t="shared" ref="E16:E54" si="2">(($D$12*$J$9)/$D$10)*($D$10-D16)</f>
        <v>10</v>
      </c>
      <c r="F16" s="155"/>
      <c r="G16" s="155">
        <v>60</v>
      </c>
      <c r="H16" s="198"/>
      <c r="I16" s="158">
        <f>H16/I$12*50+50</f>
        <v>50</v>
      </c>
      <c r="J16" s="198"/>
      <c r="K16" s="158">
        <f>J16/K$12*50+50</f>
        <v>50</v>
      </c>
      <c r="L16" s="172">
        <f t="shared" ref="L16:L54" si="3">IF($L$12=0,0,AVERAGE(I16,K16)*$L$12)</f>
        <v>10</v>
      </c>
      <c r="M16" s="155">
        <v>50</v>
      </c>
      <c r="N16" s="158">
        <f>IF($O$12="0"," ",Transmute)</f>
        <v>75</v>
      </c>
      <c r="O16" s="162">
        <f t="shared" ref="O16:O59" si="4">IF($O$12=0,0,M16*$O$12)</f>
        <v>15</v>
      </c>
      <c r="P16" s="155"/>
      <c r="Q16" s="159">
        <f>P16/Q$12*50+50</f>
        <v>50</v>
      </c>
      <c r="R16" s="202">
        <f t="shared" ref="R16:R54" si="5">Q16*$R$12</f>
        <v>20</v>
      </c>
      <c r="S16" s="176" t="str">
        <f t="shared" si="0"/>
        <v/>
      </c>
      <c r="T16" s="177" t="str">
        <f t="shared" si="1"/>
        <v/>
      </c>
      <c r="U16" s="203" t="str">
        <f>IF($D16&gt;10,"drp",IF(ISNUMBER(T16),IF(T16&gt;=75,"Pass","Fail"),T16))</f>
        <v/>
      </c>
      <c r="V16" s="168"/>
    </row>
    <row r="17" spans="1:22" ht="11.25" customHeight="1">
      <c r="A17" s="169" t="str">
        <f t="shared" ref="A17:A54" si="6">IF(ISNONTEXT(B17),"",A16+1)</f>
        <v/>
      </c>
      <c r="B17" s="153"/>
      <c r="C17" s="170"/>
      <c r="D17" s="155"/>
      <c r="E17" s="156">
        <f t="shared" si="2"/>
        <v>10</v>
      </c>
      <c r="F17" s="155"/>
      <c r="G17" s="155">
        <v>60</v>
      </c>
      <c r="H17" s="198"/>
      <c r="I17" s="158">
        <f t="shared" ref="I17:I59" si="7">H17/I$12*50+50</f>
        <v>50</v>
      </c>
      <c r="J17" s="198"/>
      <c r="K17" s="158">
        <f t="shared" ref="K17:K59" si="8">J17/K$12*50+50</f>
        <v>50</v>
      </c>
      <c r="L17" s="172">
        <f t="shared" si="3"/>
        <v>10</v>
      </c>
      <c r="M17" s="155">
        <v>50</v>
      </c>
      <c r="N17" s="158">
        <f>IF($O$12="0"," ",Transmute)</f>
        <v>75</v>
      </c>
      <c r="O17" s="162">
        <f t="shared" si="4"/>
        <v>15</v>
      </c>
      <c r="P17" s="155"/>
      <c r="Q17" s="159">
        <f t="shared" ref="Q17:Q59" si="9">P17/Q$12*50+50</f>
        <v>50</v>
      </c>
      <c r="R17" s="204">
        <f t="shared" si="5"/>
        <v>20</v>
      </c>
      <c r="S17" s="176" t="str">
        <f t="shared" ref="S17:S54" si="10">IF(ISNUMBER(T17),VLOOKUP(T17,EQTable,2),T17)</f>
        <v/>
      </c>
      <c r="T17" s="177" t="str">
        <f t="shared" si="1"/>
        <v/>
      </c>
      <c r="U17" s="203" t="str">
        <f t="shared" ref="U17:U59" si="11">IF($D17&gt;10,"drp",IF(ISNUMBER(T17),IF(T17&gt;=75,"Pass","Fail"),T17))</f>
        <v/>
      </c>
      <c r="V17" s="168"/>
    </row>
    <row r="18" spans="1:22" ht="11.25" customHeight="1">
      <c r="A18" s="169" t="str">
        <f t="shared" si="6"/>
        <v/>
      </c>
      <c r="B18" s="153"/>
      <c r="C18" s="170"/>
      <c r="D18" s="155"/>
      <c r="E18" s="156">
        <f t="shared" si="2"/>
        <v>10</v>
      </c>
      <c r="F18" s="155"/>
      <c r="G18" s="155">
        <v>60</v>
      </c>
      <c r="H18" s="198"/>
      <c r="I18" s="158">
        <f t="shared" si="7"/>
        <v>50</v>
      </c>
      <c r="J18" s="198"/>
      <c r="K18" s="158">
        <f t="shared" si="8"/>
        <v>50</v>
      </c>
      <c r="L18" s="172">
        <f t="shared" si="3"/>
        <v>10</v>
      </c>
      <c r="M18" s="155">
        <v>50</v>
      </c>
      <c r="N18" s="158">
        <f>IF($O$12="0"," ",Transmute)</f>
        <v>75</v>
      </c>
      <c r="O18" s="162">
        <f t="shared" si="4"/>
        <v>15</v>
      </c>
      <c r="P18" s="155"/>
      <c r="Q18" s="159">
        <f t="shared" si="9"/>
        <v>50</v>
      </c>
      <c r="R18" s="205">
        <f t="shared" si="5"/>
        <v>20</v>
      </c>
      <c r="S18" s="176" t="str">
        <f t="shared" si="10"/>
        <v/>
      </c>
      <c r="T18" s="177" t="str">
        <f t="shared" si="1"/>
        <v/>
      </c>
      <c r="U18" s="203" t="str">
        <f t="shared" si="11"/>
        <v/>
      </c>
      <c r="V18" s="168"/>
    </row>
    <row r="19" spans="1:22" ht="11.25" customHeight="1">
      <c r="A19" s="169" t="str">
        <f t="shared" si="6"/>
        <v/>
      </c>
      <c r="B19" s="153"/>
      <c r="C19" s="170"/>
      <c r="D19" s="155"/>
      <c r="E19" s="156">
        <f t="shared" si="2"/>
        <v>10</v>
      </c>
      <c r="F19" s="155"/>
      <c r="G19" s="155">
        <v>60</v>
      </c>
      <c r="H19" s="198"/>
      <c r="I19" s="158">
        <f t="shared" si="7"/>
        <v>50</v>
      </c>
      <c r="J19" s="198"/>
      <c r="K19" s="158">
        <f t="shared" si="8"/>
        <v>50</v>
      </c>
      <c r="L19" s="172">
        <f t="shared" si="3"/>
        <v>10</v>
      </c>
      <c r="M19" s="155">
        <v>50</v>
      </c>
      <c r="N19" s="158">
        <f>IF($O$12="0"," ",Transmute)</f>
        <v>75</v>
      </c>
      <c r="O19" s="162">
        <f t="shared" si="4"/>
        <v>15</v>
      </c>
      <c r="P19" s="155"/>
      <c r="Q19" s="159">
        <f t="shared" si="9"/>
        <v>50</v>
      </c>
      <c r="R19" s="204">
        <f t="shared" si="5"/>
        <v>20</v>
      </c>
      <c r="S19" s="176" t="str">
        <f t="shared" si="10"/>
        <v/>
      </c>
      <c r="T19" s="177" t="str">
        <f t="shared" si="1"/>
        <v/>
      </c>
      <c r="U19" s="203" t="str">
        <f t="shared" si="11"/>
        <v/>
      </c>
      <c r="V19" s="168"/>
    </row>
    <row r="20" spans="1:22" ht="11.25" customHeight="1">
      <c r="A20" s="169" t="str">
        <f t="shared" si="6"/>
        <v/>
      </c>
      <c r="B20" s="153"/>
      <c r="C20" s="170"/>
      <c r="D20" s="155"/>
      <c r="E20" s="156">
        <f t="shared" si="2"/>
        <v>10</v>
      </c>
      <c r="F20" s="155"/>
      <c r="G20" s="155">
        <v>60</v>
      </c>
      <c r="H20" s="198"/>
      <c r="I20" s="158">
        <f t="shared" si="7"/>
        <v>50</v>
      </c>
      <c r="J20" s="198"/>
      <c r="K20" s="158">
        <f t="shared" si="8"/>
        <v>50</v>
      </c>
      <c r="L20" s="172">
        <f t="shared" si="3"/>
        <v>10</v>
      </c>
      <c r="M20" s="155">
        <v>50</v>
      </c>
      <c r="N20" s="158">
        <f>IF($O$12="0"," ",Transmute)</f>
        <v>75</v>
      </c>
      <c r="O20" s="162">
        <f t="shared" si="4"/>
        <v>15</v>
      </c>
      <c r="P20" s="155"/>
      <c r="Q20" s="159">
        <f t="shared" si="9"/>
        <v>50</v>
      </c>
      <c r="R20" s="205">
        <f t="shared" si="5"/>
        <v>20</v>
      </c>
      <c r="S20" s="176" t="str">
        <f t="shared" si="10"/>
        <v/>
      </c>
      <c r="T20" s="177" t="str">
        <f t="shared" si="1"/>
        <v/>
      </c>
      <c r="U20" s="203" t="str">
        <f t="shared" si="11"/>
        <v/>
      </c>
      <c r="V20" s="168"/>
    </row>
    <row r="21" spans="1:22" ht="11.25" customHeight="1">
      <c r="A21" s="169" t="str">
        <f t="shared" si="6"/>
        <v/>
      </c>
      <c r="B21" s="153"/>
      <c r="C21" s="170"/>
      <c r="D21" s="155"/>
      <c r="E21" s="156">
        <f t="shared" si="2"/>
        <v>10</v>
      </c>
      <c r="F21" s="155"/>
      <c r="G21" s="155">
        <v>60</v>
      </c>
      <c r="H21" s="198"/>
      <c r="I21" s="158">
        <f t="shared" si="7"/>
        <v>50</v>
      </c>
      <c r="J21" s="198"/>
      <c r="K21" s="158">
        <f t="shared" si="8"/>
        <v>50</v>
      </c>
      <c r="L21" s="172">
        <f t="shared" si="3"/>
        <v>10</v>
      </c>
      <c r="M21" s="155">
        <v>50</v>
      </c>
      <c r="N21" s="158">
        <f>IF($O$12="0"," ",Transmute)</f>
        <v>75</v>
      </c>
      <c r="O21" s="162">
        <f t="shared" si="4"/>
        <v>15</v>
      </c>
      <c r="P21" s="155"/>
      <c r="Q21" s="159">
        <f t="shared" si="9"/>
        <v>50</v>
      </c>
      <c r="R21" s="204">
        <f t="shared" si="5"/>
        <v>20</v>
      </c>
      <c r="S21" s="176" t="str">
        <f t="shared" si="10"/>
        <v/>
      </c>
      <c r="T21" s="177" t="str">
        <f t="shared" si="1"/>
        <v/>
      </c>
      <c r="U21" s="203" t="str">
        <f t="shared" si="11"/>
        <v/>
      </c>
      <c r="V21" s="168"/>
    </row>
    <row r="22" spans="1:22" ht="11.25" customHeight="1">
      <c r="A22" s="169" t="str">
        <f t="shared" si="6"/>
        <v/>
      </c>
      <c r="B22" s="153"/>
      <c r="C22" s="170"/>
      <c r="D22" s="155"/>
      <c r="E22" s="156">
        <f t="shared" si="2"/>
        <v>10</v>
      </c>
      <c r="F22" s="155"/>
      <c r="G22" s="155">
        <v>60</v>
      </c>
      <c r="H22" s="198"/>
      <c r="I22" s="158">
        <f t="shared" si="7"/>
        <v>50</v>
      </c>
      <c r="J22" s="198"/>
      <c r="K22" s="158">
        <f t="shared" si="8"/>
        <v>50</v>
      </c>
      <c r="L22" s="172">
        <f t="shared" si="3"/>
        <v>10</v>
      </c>
      <c r="M22" s="155">
        <v>50</v>
      </c>
      <c r="N22" s="158">
        <f>IF($O$12="0"," ",Transmute)</f>
        <v>75</v>
      </c>
      <c r="O22" s="162">
        <f t="shared" si="4"/>
        <v>15</v>
      </c>
      <c r="P22" s="155"/>
      <c r="Q22" s="159">
        <f t="shared" si="9"/>
        <v>50</v>
      </c>
      <c r="R22" s="204">
        <f t="shared" si="5"/>
        <v>20</v>
      </c>
      <c r="S22" s="176" t="str">
        <f t="shared" si="10"/>
        <v/>
      </c>
      <c r="T22" s="177" t="str">
        <f t="shared" si="1"/>
        <v/>
      </c>
      <c r="U22" s="203" t="str">
        <f t="shared" si="11"/>
        <v/>
      </c>
      <c r="V22" s="168"/>
    </row>
    <row r="23" spans="1:22" ht="11.25" customHeight="1">
      <c r="A23" s="169" t="str">
        <f t="shared" si="6"/>
        <v/>
      </c>
      <c r="B23" s="153"/>
      <c r="C23" s="170"/>
      <c r="D23" s="155"/>
      <c r="E23" s="156">
        <f t="shared" si="2"/>
        <v>10</v>
      </c>
      <c r="F23" s="155"/>
      <c r="G23" s="155">
        <v>60</v>
      </c>
      <c r="H23" s="198"/>
      <c r="I23" s="158">
        <f t="shared" si="7"/>
        <v>50</v>
      </c>
      <c r="J23" s="198"/>
      <c r="K23" s="158">
        <f t="shared" si="8"/>
        <v>50</v>
      </c>
      <c r="L23" s="172">
        <f t="shared" si="3"/>
        <v>10</v>
      </c>
      <c r="M23" s="155">
        <v>50</v>
      </c>
      <c r="N23" s="158">
        <f>IF($O$12="0"," ",Transmute)</f>
        <v>75</v>
      </c>
      <c r="O23" s="162">
        <f t="shared" si="4"/>
        <v>15</v>
      </c>
      <c r="P23" s="155"/>
      <c r="Q23" s="159">
        <f t="shared" si="9"/>
        <v>50</v>
      </c>
      <c r="R23" s="204">
        <f t="shared" si="5"/>
        <v>20</v>
      </c>
      <c r="S23" s="176" t="str">
        <f t="shared" si="10"/>
        <v/>
      </c>
      <c r="T23" s="177" t="str">
        <f t="shared" si="1"/>
        <v/>
      </c>
      <c r="U23" s="203" t="str">
        <f t="shared" si="11"/>
        <v/>
      </c>
      <c r="V23" s="168"/>
    </row>
    <row r="24" spans="1:22" ht="11.25" customHeight="1">
      <c r="A24" s="169" t="str">
        <f t="shared" si="6"/>
        <v/>
      </c>
      <c r="B24" s="153"/>
      <c r="C24" s="170"/>
      <c r="D24" s="155"/>
      <c r="E24" s="156">
        <f t="shared" si="2"/>
        <v>10</v>
      </c>
      <c r="F24" s="155"/>
      <c r="G24" s="155">
        <v>60</v>
      </c>
      <c r="H24" s="198"/>
      <c r="I24" s="158">
        <f t="shared" si="7"/>
        <v>50</v>
      </c>
      <c r="J24" s="198"/>
      <c r="K24" s="158">
        <f t="shared" si="8"/>
        <v>50</v>
      </c>
      <c r="L24" s="172">
        <f t="shared" si="3"/>
        <v>10</v>
      </c>
      <c r="M24" s="155">
        <v>50</v>
      </c>
      <c r="N24" s="158">
        <f>IF($O$12="0"," ",Transmute)</f>
        <v>75</v>
      </c>
      <c r="O24" s="162">
        <f t="shared" si="4"/>
        <v>15</v>
      </c>
      <c r="P24" s="155"/>
      <c r="Q24" s="159">
        <f t="shared" si="9"/>
        <v>50</v>
      </c>
      <c r="R24" s="204">
        <f t="shared" si="5"/>
        <v>20</v>
      </c>
      <c r="S24" s="176" t="str">
        <f t="shared" si="10"/>
        <v/>
      </c>
      <c r="T24" s="177" t="str">
        <f t="shared" si="1"/>
        <v/>
      </c>
      <c r="U24" s="203" t="str">
        <f t="shared" si="11"/>
        <v/>
      </c>
      <c r="V24" s="168"/>
    </row>
    <row r="25" spans="1:22" ht="11.25" customHeight="1">
      <c r="A25" s="169" t="str">
        <f t="shared" si="6"/>
        <v/>
      </c>
      <c r="B25" s="153"/>
      <c r="C25" s="170"/>
      <c r="D25" s="155"/>
      <c r="E25" s="156">
        <f t="shared" si="2"/>
        <v>10</v>
      </c>
      <c r="F25" s="155"/>
      <c r="G25" s="155">
        <v>60</v>
      </c>
      <c r="H25" s="198"/>
      <c r="I25" s="158">
        <f t="shared" si="7"/>
        <v>50</v>
      </c>
      <c r="J25" s="198"/>
      <c r="K25" s="158">
        <f t="shared" si="8"/>
        <v>50</v>
      </c>
      <c r="L25" s="172">
        <f t="shared" si="3"/>
        <v>10</v>
      </c>
      <c r="M25" s="155">
        <v>50</v>
      </c>
      <c r="N25" s="158">
        <f>IF($O$12="0"," ",Transmute)</f>
        <v>75</v>
      </c>
      <c r="O25" s="162">
        <f t="shared" si="4"/>
        <v>15</v>
      </c>
      <c r="P25" s="155"/>
      <c r="Q25" s="159">
        <f t="shared" si="9"/>
        <v>50</v>
      </c>
      <c r="R25" s="204">
        <f t="shared" si="5"/>
        <v>20</v>
      </c>
      <c r="S25" s="176" t="str">
        <f t="shared" si="10"/>
        <v/>
      </c>
      <c r="T25" s="177" t="str">
        <f t="shared" si="1"/>
        <v/>
      </c>
      <c r="U25" s="203" t="str">
        <f t="shared" si="11"/>
        <v/>
      </c>
      <c r="V25" s="168"/>
    </row>
    <row r="26" spans="1:22" ht="11.25" customHeight="1">
      <c r="A26" s="169" t="str">
        <f t="shared" si="6"/>
        <v/>
      </c>
      <c r="B26" s="153"/>
      <c r="C26" s="170"/>
      <c r="D26" s="155"/>
      <c r="E26" s="156">
        <f t="shared" si="2"/>
        <v>10</v>
      </c>
      <c r="F26" s="155"/>
      <c r="G26" s="155">
        <v>60</v>
      </c>
      <c r="H26" s="198"/>
      <c r="I26" s="158">
        <f t="shared" si="7"/>
        <v>50</v>
      </c>
      <c r="J26" s="198"/>
      <c r="K26" s="158">
        <f t="shared" si="8"/>
        <v>50</v>
      </c>
      <c r="L26" s="172">
        <f t="shared" si="3"/>
        <v>10</v>
      </c>
      <c r="M26" s="155">
        <v>50</v>
      </c>
      <c r="N26" s="158">
        <f>IF($O$12="0"," ",Transmute)</f>
        <v>75</v>
      </c>
      <c r="O26" s="162">
        <f t="shared" si="4"/>
        <v>15</v>
      </c>
      <c r="P26" s="155"/>
      <c r="Q26" s="159">
        <f t="shared" si="9"/>
        <v>50</v>
      </c>
      <c r="R26" s="204">
        <f t="shared" si="5"/>
        <v>20</v>
      </c>
      <c r="S26" s="176" t="str">
        <f t="shared" si="10"/>
        <v/>
      </c>
      <c r="T26" s="177" t="str">
        <f t="shared" si="1"/>
        <v/>
      </c>
      <c r="U26" s="203" t="str">
        <f t="shared" si="11"/>
        <v/>
      </c>
      <c r="V26" s="168"/>
    </row>
    <row r="27" spans="1:22" ht="11.25" customHeight="1">
      <c r="A27" s="169" t="str">
        <f t="shared" si="6"/>
        <v/>
      </c>
      <c r="B27" s="153"/>
      <c r="C27" s="170"/>
      <c r="D27" s="155"/>
      <c r="E27" s="156">
        <f t="shared" si="2"/>
        <v>10</v>
      </c>
      <c r="F27" s="155"/>
      <c r="G27" s="155">
        <v>60</v>
      </c>
      <c r="H27" s="198"/>
      <c r="I27" s="158">
        <f t="shared" si="7"/>
        <v>50</v>
      </c>
      <c r="J27" s="198"/>
      <c r="K27" s="158">
        <f t="shared" si="8"/>
        <v>50</v>
      </c>
      <c r="L27" s="172">
        <f t="shared" si="3"/>
        <v>10</v>
      </c>
      <c r="M27" s="155">
        <v>50</v>
      </c>
      <c r="N27" s="158">
        <f>IF($O$12="0"," ",Transmute)</f>
        <v>75</v>
      </c>
      <c r="O27" s="162">
        <f t="shared" si="4"/>
        <v>15</v>
      </c>
      <c r="P27" s="155"/>
      <c r="Q27" s="159">
        <f t="shared" si="9"/>
        <v>50</v>
      </c>
      <c r="R27" s="204">
        <f t="shared" si="5"/>
        <v>20</v>
      </c>
      <c r="S27" s="176" t="str">
        <f t="shared" si="10"/>
        <v/>
      </c>
      <c r="T27" s="177" t="str">
        <f t="shared" si="1"/>
        <v/>
      </c>
      <c r="U27" s="203" t="str">
        <f t="shared" si="11"/>
        <v/>
      </c>
      <c r="V27" s="168"/>
    </row>
    <row r="28" spans="1:22" ht="11.25" customHeight="1">
      <c r="A28" s="169" t="str">
        <f t="shared" si="6"/>
        <v/>
      </c>
      <c r="B28" s="153"/>
      <c r="C28" s="170"/>
      <c r="D28" s="155"/>
      <c r="E28" s="156">
        <f t="shared" si="2"/>
        <v>10</v>
      </c>
      <c r="F28" s="155"/>
      <c r="G28" s="155">
        <v>60</v>
      </c>
      <c r="H28" s="198"/>
      <c r="I28" s="158">
        <f t="shared" si="7"/>
        <v>50</v>
      </c>
      <c r="J28" s="198"/>
      <c r="K28" s="158">
        <f t="shared" si="8"/>
        <v>50</v>
      </c>
      <c r="L28" s="172">
        <f t="shared" si="3"/>
        <v>10</v>
      </c>
      <c r="M28" s="155">
        <v>50</v>
      </c>
      <c r="N28" s="158">
        <f>IF($O$12="0"," ",Transmute)</f>
        <v>75</v>
      </c>
      <c r="O28" s="162">
        <f t="shared" si="4"/>
        <v>15</v>
      </c>
      <c r="P28" s="155"/>
      <c r="Q28" s="159">
        <f t="shared" si="9"/>
        <v>50</v>
      </c>
      <c r="R28" s="204">
        <f t="shared" si="5"/>
        <v>20</v>
      </c>
      <c r="S28" s="176" t="str">
        <f t="shared" si="10"/>
        <v/>
      </c>
      <c r="T28" s="177" t="str">
        <f t="shared" si="1"/>
        <v/>
      </c>
      <c r="U28" s="203" t="str">
        <f t="shared" si="11"/>
        <v/>
      </c>
      <c r="V28" s="168"/>
    </row>
    <row r="29" spans="1:22" ht="11.25" customHeight="1">
      <c r="A29" s="169" t="str">
        <f t="shared" si="6"/>
        <v/>
      </c>
      <c r="B29" s="153"/>
      <c r="C29" s="170"/>
      <c r="D29" s="155"/>
      <c r="E29" s="156">
        <f t="shared" si="2"/>
        <v>10</v>
      </c>
      <c r="F29" s="155"/>
      <c r="G29" s="155">
        <v>60</v>
      </c>
      <c r="H29" s="198"/>
      <c r="I29" s="158">
        <f t="shared" si="7"/>
        <v>50</v>
      </c>
      <c r="J29" s="198"/>
      <c r="K29" s="158">
        <f t="shared" si="8"/>
        <v>50</v>
      </c>
      <c r="L29" s="172">
        <f t="shared" si="3"/>
        <v>10</v>
      </c>
      <c r="M29" s="155">
        <v>50</v>
      </c>
      <c r="N29" s="158">
        <f>IF($O$12="0"," ",Transmute)</f>
        <v>75</v>
      </c>
      <c r="O29" s="162">
        <f t="shared" si="4"/>
        <v>15</v>
      </c>
      <c r="P29" s="155"/>
      <c r="Q29" s="159">
        <f t="shared" si="9"/>
        <v>50</v>
      </c>
      <c r="R29" s="204">
        <f t="shared" si="5"/>
        <v>20</v>
      </c>
      <c r="S29" s="176" t="str">
        <f t="shared" si="10"/>
        <v/>
      </c>
      <c r="T29" s="177" t="str">
        <f t="shared" si="1"/>
        <v/>
      </c>
      <c r="U29" s="203" t="str">
        <f t="shared" si="11"/>
        <v/>
      </c>
      <c r="V29" s="168"/>
    </row>
    <row r="30" spans="1:22" ht="11.25" customHeight="1">
      <c r="A30" s="169" t="str">
        <f t="shared" si="6"/>
        <v/>
      </c>
      <c r="B30" s="153"/>
      <c r="C30" s="170"/>
      <c r="D30" s="155"/>
      <c r="E30" s="156">
        <f t="shared" si="2"/>
        <v>10</v>
      </c>
      <c r="F30" s="155"/>
      <c r="G30" s="155">
        <v>60</v>
      </c>
      <c r="H30" s="198"/>
      <c r="I30" s="158">
        <f t="shared" si="7"/>
        <v>50</v>
      </c>
      <c r="J30" s="198"/>
      <c r="K30" s="158">
        <f t="shared" si="8"/>
        <v>50</v>
      </c>
      <c r="L30" s="172">
        <f t="shared" si="3"/>
        <v>10</v>
      </c>
      <c r="M30" s="155">
        <v>50</v>
      </c>
      <c r="N30" s="158">
        <f>IF($O$12="0"," ",Transmute)</f>
        <v>75</v>
      </c>
      <c r="O30" s="162">
        <f t="shared" si="4"/>
        <v>15</v>
      </c>
      <c r="P30" s="155"/>
      <c r="Q30" s="159">
        <f t="shared" si="9"/>
        <v>50</v>
      </c>
      <c r="R30" s="204">
        <f t="shared" si="5"/>
        <v>20</v>
      </c>
      <c r="S30" s="176" t="str">
        <f t="shared" si="10"/>
        <v/>
      </c>
      <c r="T30" s="177" t="str">
        <f t="shared" si="1"/>
        <v/>
      </c>
      <c r="U30" s="203" t="str">
        <f t="shared" si="11"/>
        <v/>
      </c>
      <c r="V30" s="168"/>
    </row>
    <row r="31" spans="1:22" ht="11.25" customHeight="1">
      <c r="A31" s="169" t="str">
        <f t="shared" si="6"/>
        <v/>
      </c>
      <c r="B31" s="153"/>
      <c r="C31" s="170"/>
      <c r="D31" s="155"/>
      <c r="E31" s="156">
        <f t="shared" si="2"/>
        <v>10</v>
      </c>
      <c r="F31" s="155"/>
      <c r="G31" s="155">
        <v>60</v>
      </c>
      <c r="H31" s="198"/>
      <c r="I31" s="158">
        <f t="shared" si="7"/>
        <v>50</v>
      </c>
      <c r="J31" s="198"/>
      <c r="K31" s="158">
        <f t="shared" si="8"/>
        <v>50</v>
      </c>
      <c r="L31" s="172">
        <f t="shared" si="3"/>
        <v>10</v>
      </c>
      <c r="M31" s="155">
        <v>50</v>
      </c>
      <c r="N31" s="158">
        <f>IF($O$12="0"," ",Transmute)</f>
        <v>75</v>
      </c>
      <c r="O31" s="162">
        <f t="shared" si="4"/>
        <v>15</v>
      </c>
      <c r="P31" s="155"/>
      <c r="Q31" s="159">
        <f t="shared" si="9"/>
        <v>50</v>
      </c>
      <c r="R31" s="204">
        <f t="shared" si="5"/>
        <v>20</v>
      </c>
      <c r="S31" s="176" t="str">
        <f t="shared" si="10"/>
        <v/>
      </c>
      <c r="T31" s="177" t="str">
        <f t="shared" si="1"/>
        <v/>
      </c>
      <c r="U31" s="203" t="str">
        <f t="shared" si="11"/>
        <v/>
      </c>
      <c r="V31" s="168"/>
    </row>
    <row r="32" spans="1:22" ht="11.25" customHeight="1">
      <c r="A32" s="169" t="str">
        <f t="shared" si="6"/>
        <v/>
      </c>
      <c r="B32" s="153"/>
      <c r="C32" s="170"/>
      <c r="D32" s="155"/>
      <c r="E32" s="156">
        <f t="shared" si="2"/>
        <v>10</v>
      </c>
      <c r="F32" s="155"/>
      <c r="G32" s="155">
        <v>60</v>
      </c>
      <c r="H32" s="198"/>
      <c r="I32" s="158">
        <f t="shared" si="7"/>
        <v>50</v>
      </c>
      <c r="J32" s="198"/>
      <c r="K32" s="158">
        <f t="shared" si="8"/>
        <v>50</v>
      </c>
      <c r="L32" s="172">
        <f t="shared" si="3"/>
        <v>10</v>
      </c>
      <c r="M32" s="155">
        <v>50</v>
      </c>
      <c r="N32" s="158">
        <f>IF($O$12="0"," ",Transmute)</f>
        <v>75</v>
      </c>
      <c r="O32" s="162">
        <f t="shared" si="4"/>
        <v>15</v>
      </c>
      <c r="P32" s="155"/>
      <c r="Q32" s="159">
        <f t="shared" si="9"/>
        <v>50</v>
      </c>
      <c r="R32" s="204">
        <f t="shared" si="5"/>
        <v>20</v>
      </c>
      <c r="S32" s="176" t="str">
        <f t="shared" si="10"/>
        <v/>
      </c>
      <c r="T32" s="177" t="str">
        <f t="shared" si="1"/>
        <v/>
      </c>
      <c r="U32" s="203" t="str">
        <f t="shared" si="11"/>
        <v/>
      </c>
      <c r="V32" s="168"/>
    </row>
    <row r="33" spans="1:22" ht="11.25" customHeight="1">
      <c r="A33" s="169" t="str">
        <f t="shared" si="6"/>
        <v/>
      </c>
      <c r="B33" s="153"/>
      <c r="C33" s="170"/>
      <c r="D33" s="155"/>
      <c r="E33" s="156">
        <f t="shared" si="2"/>
        <v>10</v>
      </c>
      <c r="F33" s="155"/>
      <c r="G33" s="155">
        <v>60</v>
      </c>
      <c r="H33" s="198"/>
      <c r="I33" s="158">
        <f t="shared" si="7"/>
        <v>50</v>
      </c>
      <c r="J33" s="198"/>
      <c r="K33" s="158">
        <f t="shared" si="8"/>
        <v>50</v>
      </c>
      <c r="L33" s="172">
        <f t="shared" si="3"/>
        <v>10</v>
      </c>
      <c r="M33" s="155">
        <v>50</v>
      </c>
      <c r="N33" s="158">
        <f>IF($O$12="0"," ",Transmute)</f>
        <v>75</v>
      </c>
      <c r="O33" s="162">
        <f t="shared" si="4"/>
        <v>15</v>
      </c>
      <c r="P33" s="155"/>
      <c r="Q33" s="159">
        <f t="shared" si="9"/>
        <v>50</v>
      </c>
      <c r="R33" s="204">
        <f t="shared" si="5"/>
        <v>20</v>
      </c>
      <c r="S33" s="176" t="str">
        <f t="shared" si="10"/>
        <v/>
      </c>
      <c r="T33" s="177" t="str">
        <f t="shared" si="1"/>
        <v/>
      </c>
      <c r="U33" s="203" t="str">
        <f t="shared" si="11"/>
        <v/>
      </c>
      <c r="V33" s="168"/>
    </row>
    <row r="34" spans="1:22" ht="11.25" customHeight="1">
      <c r="A34" s="169" t="str">
        <f t="shared" si="6"/>
        <v/>
      </c>
      <c r="B34" s="153"/>
      <c r="C34" s="170"/>
      <c r="D34" s="155"/>
      <c r="E34" s="156">
        <f t="shared" si="2"/>
        <v>10</v>
      </c>
      <c r="F34" s="155"/>
      <c r="G34" s="155">
        <v>60</v>
      </c>
      <c r="H34" s="198"/>
      <c r="I34" s="158">
        <f t="shared" si="7"/>
        <v>50</v>
      </c>
      <c r="J34" s="198"/>
      <c r="K34" s="158">
        <f t="shared" si="8"/>
        <v>50</v>
      </c>
      <c r="L34" s="172">
        <f t="shared" si="3"/>
        <v>10</v>
      </c>
      <c r="M34" s="155">
        <v>50</v>
      </c>
      <c r="N34" s="158">
        <f>IF($O$12="0"," ",Transmute)</f>
        <v>75</v>
      </c>
      <c r="O34" s="162">
        <f t="shared" si="4"/>
        <v>15</v>
      </c>
      <c r="P34" s="155"/>
      <c r="Q34" s="159">
        <f t="shared" si="9"/>
        <v>50</v>
      </c>
      <c r="R34" s="204">
        <f t="shared" si="5"/>
        <v>20</v>
      </c>
      <c r="S34" s="176" t="str">
        <f t="shared" si="10"/>
        <v/>
      </c>
      <c r="T34" s="177" t="str">
        <f t="shared" si="1"/>
        <v/>
      </c>
      <c r="U34" s="203" t="str">
        <f t="shared" si="11"/>
        <v/>
      </c>
      <c r="V34" s="168"/>
    </row>
    <row r="35" spans="1:22" ht="11.25" customHeight="1">
      <c r="A35" s="169" t="str">
        <f t="shared" si="6"/>
        <v/>
      </c>
      <c r="B35" s="153"/>
      <c r="C35" s="170"/>
      <c r="D35" s="155"/>
      <c r="E35" s="156">
        <f t="shared" si="2"/>
        <v>10</v>
      </c>
      <c r="F35" s="155"/>
      <c r="G35" s="155">
        <v>60</v>
      </c>
      <c r="H35" s="198"/>
      <c r="I35" s="158">
        <f t="shared" si="7"/>
        <v>50</v>
      </c>
      <c r="J35" s="198"/>
      <c r="K35" s="158">
        <f t="shared" si="8"/>
        <v>50</v>
      </c>
      <c r="L35" s="172">
        <f t="shared" si="3"/>
        <v>10</v>
      </c>
      <c r="M35" s="155">
        <v>50</v>
      </c>
      <c r="N35" s="158">
        <f>IF($O$12="0"," ",Transmute)</f>
        <v>75</v>
      </c>
      <c r="O35" s="162">
        <f t="shared" si="4"/>
        <v>15</v>
      </c>
      <c r="P35" s="155"/>
      <c r="Q35" s="159">
        <f t="shared" si="9"/>
        <v>50</v>
      </c>
      <c r="R35" s="204">
        <f t="shared" si="5"/>
        <v>20</v>
      </c>
      <c r="S35" s="176" t="str">
        <f t="shared" si="10"/>
        <v/>
      </c>
      <c r="T35" s="177" t="str">
        <f t="shared" si="1"/>
        <v/>
      </c>
      <c r="U35" s="203" t="str">
        <f t="shared" si="11"/>
        <v/>
      </c>
      <c r="V35" s="168"/>
    </row>
    <row r="36" spans="1:22" ht="11.25" customHeight="1">
      <c r="A36" s="169" t="str">
        <f t="shared" si="6"/>
        <v/>
      </c>
      <c r="B36" s="153"/>
      <c r="C36" s="170"/>
      <c r="D36" s="155"/>
      <c r="E36" s="156">
        <f t="shared" si="2"/>
        <v>10</v>
      </c>
      <c r="F36" s="155"/>
      <c r="G36" s="155">
        <v>60</v>
      </c>
      <c r="H36" s="198"/>
      <c r="I36" s="158">
        <f t="shared" si="7"/>
        <v>50</v>
      </c>
      <c r="J36" s="198"/>
      <c r="K36" s="158">
        <f t="shared" si="8"/>
        <v>50</v>
      </c>
      <c r="L36" s="172">
        <f t="shared" si="3"/>
        <v>10</v>
      </c>
      <c r="M36" s="155">
        <v>50</v>
      </c>
      <c r="N36" s="158">
        <f>IF($O$12="0"," ",Transmute)</f>
        <v>75</v>
      </c>
      <c r="O36" s="162">
        <f t="shared" si="4"/>
        <v>15</v>
      </c>
      <c r="P36" s="155"/>
      <c r="Q36" s="159">
        <f t="shared" si="9"/>
        <v>50</v>
      </c>
      <c r="R36" s="204">
        <f t="shared" si="5"/>
        <v>20</v>
      </c>
      <c r="S36" s="176" t="str">
        <f t="shared" si="10"/>
        <v/>
      </c>
      <c r="T36" s="177" t="str">
        <f t="shared" si="1"/>
        <v/>
      </c>
      <c r="U36" s="203" t="str">
        <f t="shared" si="11"/>
        <v/>
      </c>
      <c r="V36" s="168"/>
    </row>
    <row r="37" spans="1:22" ht="11.25" customHeight="1">
      <c r="A37" s="169" t="str">
        <f t="shared" si="6"/>
        <v/>
      </c>
      <c r="B37" s="153"/>
      <c r="C37" s="170"/>
      <c r="D37" s="155"/>
      <c r="E37" s="156">
        <f t="shared" si="2"/>
        <v>10</v>
      </c>
      <c r="F37" s="155"/>
      <c r="G37" s="155">
        <v>60</v>
      </c>
      <c r="H37" s="198"/>
      <c r="I37" s="158">
        <f t="shared" si="7"/>
        <v>50</v>
      </c>
      <c r="J37" s="198"/>
      <c r="K37" s="158">
        <f t="shared" si="8"/>
        <v>50</v>
      </c>
      <c r="L37" s="172">
        <f t="shared" si="3"/>
        <v>10</v>
      </c>
      <c r="M37" s="155">
        <v>50</v>
      </c>
      <c r="N37" s="158">
        <f>IF($O$12="0"," ",Transmute)</f>
        <v>75</v>
      </c>
      <c r="O37" s="162">
        <f t="shared" si="4"/>
        <v>15</v>
      </c>
      <c r="P37" s="155"/>
      <c r="Q37" s="159">
        <f t="shared" si="9"/>
        <v>50</v>
      </c>
      <c r="R37" s="204">
        <f t="shared" si="5"/>
        <v>20</v>
      </c>
      <c r="S37" s="176" t="str">
        <f t="shared" si="10"/>
        <v/>
      </c>
      <c r="T37" s="177" t="str">
        <f t="shared" si="1"/>
        <v/>
      </c>
      <c r="U37" s="203" t="str">
        <f t="shared" si="11"/>
        <v/>
      </c>
      <c r="V37" s="168"/>
    </row>
    <row r="38" spans="1:22" ht="11.25" customHeight="1">
      <c r="A38" s="169" t="str">
        <f t="shared" si="6"/>
        <v/>
      </c>
      <c r="B38" s="153"/>
      <c r="C38" s="170"/>
      <c r="D38" s="155"/>
      <c r="E38" s="156">
        <f t="shared" si="2"/>
        <v>10</v>
      </c>
      <c r="F38" s="155"/>
      <c r="G38" s="155">
        <v>60</v>
      </c>
      <c r="H38" s="198"/>
      <c r="I38" s="158">
        <f t="shared" si="7"/>
        <v>50</v>
      </c>
      <c r="J38" s="198"/>
      <c r="K38" s="158">
        <f t="shared" si="8"/>
        <v>50</v>
      </c>
      <c r="L38" s="172">
        <f t="shared" si="3"/>
        <v>10</v>
      </c>
      <c r="M38" s="155">
        <v>50</v>
      </c>
      <c r="N38" s="158">
        <f>IF($O$12="0"," ",Transmute)</f>
        <v>75</v>
      </c>
      <c r="O38" s="162">
        <f t="shared" si="4"/>
        <v>15</v>
      </c>
      <c r="P38" s="155"/>
      <c r="Q38" s="159">
        <f t="shared" si="9"/>
        <v>50</v>
      </c>
      <c r="R38" s="204">
        <f t="shared" si="5"/>
        <v>20</v>
      </c>
      <c r="S38" s="176" t="str">
        <f t="shared" si="10"/>
        <v/>
      </c>
      <c r="T38" s="177" t="str">
        <f t="shared" si="1"/>
        <v/>
      </c>
      <c r="U38" s="203" t="str">
        <f t="shared" si="11"/>
        <v/>
      </c>
      <c r="V38" s="168"/>
    </row>
    <row r="39" spans="1:22" ht="11.25" customHeight="1">
      <c r="A39" s="169" t="str">
        <f t="shared" si="6"/>
        <v/>
      </c>
      <c r="B39" s="153"/>
      <c r="C39" s="170"/>
      <c r="D39" s="155"/>
      <c r="E39" s="156">
        <f t="shared" si="2"/>
        <v>10</v>
      </c>
      <c r="F39" s="155"/>
      <c r="G39" s="155">
        <v>60</v>
      </c>
      <c r="H39" s="198"/>
      <c r="I39" s="158">
        <f t="shared" si="7"/>
        <v>50</v>
      </c>
      <c r="J39" s="198"/>
      <c r="K39" s="158">
        <f t="shared" si="8"/>
        <v>50</v>
      </c>
      <c r="L39" s="172">
        <f t="shared" si="3"/>
        <v>10</v>
      </c>
      <c r="M39" s="155">
        <v>50</v>
      </c>
      <c r="N39" s="158">
        <f>IF($O$12="0"," ",Transmute)</f>
        <v>75</v>
      </c>
      <c r="O39" s="162">
        <f t="shared" si="4"/>
        <v>15</v>
      </c>
      <c r="P39" s="155"/>
      <c r="Q39" s="159">
        <f t="shared" si="9"/>
        <v>50</v>
      </c>
      <c r="R39" s="204">
        <f t="shared" si="5"/>
        <v>20</v>
      </c>
      <c r="S39" s="176" t="str">
        <f t="shared" si="10"/>
        <v/>
      </c>
      <c r="T39" s="177" t="str">
        <f t="shared" si="1"/>
        <v/>
      </c>
      <c r="U39" s="203" t="str">
        <f t="shared" si="11"/>
        <v/>
      </c>
      <c r="V39" s="168"/>
    </row>
    <row r="40" spans="1:22" ht="11.25" customHeight="1">
      <c r="A40" s="169" t="str">
        <f t="shared" si="6"/>
        <v/>
      </c>
      <c r="B40" s="153"/>
      <c r="C40" s="170"/>
      <c r="D40" s="155"/>
      <c r="E40" s="156">
        <f t="shared" si="2"/>
        <v>10</v>
      </c>
      <c r="F40" s="155"/>
      <c r="G40" s="155">
        <v>60</v>
      </c>
      <c r="H40" s="198"/>
      <c r="I40" s="158">
        <f t="shared" si="7"/>
        <v>50</v>
      </c>
      <c r="J40" s="198"/>
      <c r="K40" s="158">
        <f t="shared" si="8"/>
        <v>50</v>
      </c>
      <c r="L40" s="172">
        <f t="shared" si="3"/>
        <v>10</v>
      </c>
      <c r="M40" s="155">
        <v>50</v>
      </c>
      <c r="N40" s="158">
        <f>IF($O$12="0"," ",Transmute)</f>
        <v>75</v>
      </c>
      <c r="O40" s="162">
        <f t="shared" si="4"/>
        <v>15</v>
      </c>
      <c r="P40" s="155"/>
      <c r="Q40" s="159">
        <f t="shared" si="9"/>
        <v>50</v>
      </c>
      <c r="R40" s="204">
        <f t="shared" si="5"/>
        <v>20</v>
      </c>
      <c r="S40" s="176" t="str">
        <f t="shared" si="10"/>
        <v/>
      </c>
      <c r="T40" s="177" t="str">
        <f t="shared" si="1"/>
        <v/>
      </c>
      <c r="U40" s="203" t="str">
        <f t="shared" si="11"/>
        <v/>
      </c>
      <c r="V40" s="168"/>
    </row>
    <row r="41" spans="1:22" ht="11.25" customHeight="1">
      <c r="A41" s="169" t="str">
        <f t="shared" si="6"/>
        <v/>
      </c>
      <c r="B41" s="153"/>
      <c r="C41" s="170"/>
      <c r="D41" s="155"/>
      <c r="E41" s="156">
        <f t="shared" si="2"/>
        <v>10</v>
      </c>
      <c r="F41" s="155"/>
      <c r="G41" s="155">
        <v>60</v>
      </c>
      <c r="H41" s="198"/>
      <c r="I41" s="158">
        <f t="shared" si="7"/>
        <v>50</v>
      </c>
      <c r="J41" s="198"/>
      <c r="K41" s="158">
        <f t="shared" si="8"/>
        <v>50</v>
      </c>
      <c r="L41" s="172">
        <f t="shared" si="3"/>
        <v>10</v>
      </c>
      <c r="M41" s="155">
        <v>50</v>
      </c>
      <c r="N41" s="158">
        <f>IF($O$12="0"," ",Transmute)</f>
        <v>75</v>
      </c>
      <c r="O41" s="162">
        <f t="shared" si="4"/>
        <v>15</v>
      </c>
      <c r="P41" s="155"/>
      <c r="Q41" s="159">
        <f t="shared" si="9"/>
        <v>50</v>
      </c>
      <c r="R41" s="204">
        <f t="shared" si="5"/>
        <v>20</v>
      </c>
      <c r="S41" s="176" t="str">
        <f t="shared" si="10"/>
        <v/>
      </c>
      <c r="T41" s="177" t="str">
        <f t="shared" si="1"/>
        <v/>
      </c>
      <c r="U41" s="203" t="str">
        <f t="shared" si="11"/>
        <v/>
      </c>
      <c r="V41" s="168"/>
    </row>
    <row r="42" spans="1:22" ht="11.25" customHeight="1">
      <c r="A42" s="169" t="str">
        <f t="shared" si="6"/>
        <v/>
      </c>
      <c r="B42" s="153"/>
      <c r="C42" s="170"/>
      <c r="D42" s="155"/>
      <c r="E42" s="156">
        <f t="shared" si="2"/>
        <v>10</v>
      </c>
      <c r="F42" s="155"/>
      <c r="G42" s="155">
        <v>60</v>
      </c>
      <c r="H42" s="198"/>
      <c r="I42" s="158">
        <f t="shared" si="7"/>
        <v>50</v>
      </c>
      <c r="J42" s="198"/>
      <c r="K42" s="158">
        <f t="shared" si="8"/>
        <v>50</v>
      </c>
      <c r="L42" s="172">
        <f t="shared" si="3"/>
        <v>10</v>
      </c>
      <c r="M42" s="155">
        <v>50</v>
      </c>
      <c r="N42" s="158">
        <f>IF($O$12="0"," ",Transmute)</f>
        <v>75</v>
      </c>
      <c r="O42" s="162">
        <f t="shared" si="4"/>
        <v>15</v>
      </c>
      <c r="P42" s="155"/>
      <c r="Q42" s="159">
        <f t="shared" si="9"/>
        <v>50</v>
      </c>
      <c r="R42" s="204">
        <f t="shared" si="5"/>
        <v>20</v>
      </c>
      <c r="S42" s="176" t="str">
        <f t="shared" si="10"/>
        <v/>
      </c>
      <c r="T42" s="177" t="str">
        <f t="shared" si="1"/>
        <v/>
      </c>
      <c r="U42" s="203" t="str">
        <f t="shared" si="11"/>
        <v/>
      </c>
      <c r="V42" s="168"/>
    </row>
    <row r="43" spans="1:22" ht="11.25" customHeight="1">
      <c r="A43" s="169" t="str">
        <f t="shared" si="6"/>
        <v/>
      </c>
      <c r="B43" s="153"/>
      <c r="C43" s="170"/>
      <c r="D43" s="155"/>
      <c r="E43" s="156">
        <f t="shared" si="2"/>
        <v>10</v>
      </c>
      <c r="F43" s="155"/>
      <c r="G43" s="155">
        <v>60</v>
      </c>
      <c r="H43" s="198"/>
      <c r="I43" s="158">
        <f t="shared" si="7"/>
        <v>50</v>
      </c>
      <c r="J43" s="198"/>
      <c r="K43" s="158">
        <f t="shared" si="8"/>
        <v>50</v>
      </c>
      <c r="L43" s="172">
        <f t="shared" si="3"/>
        <v>10</v>
      </c>
      <c r="M43" s="155">
        <v>50</v>
      </c>
      <c r="N43" s="158">
        <f>IF($O$12="0"," ",Transmute)</f>
        <v>75</v>
      </c>
      <c r="O43" s="162">
        <f t="shared" si="4"/>
        <v>15</v>
      </c>
      <c r="P43" s="155"/>
      <c r="Q43" s="159">
        <f t="shared" si="9"/>
        <v>50</v>
      </c>
      <c r="R43" s="204">
        <f t="shared" si="5"/>
        <v>20</v>
      </c>
      <c r="S43" s="176" t="str">
        <f t="shared" si="10"/>
        <v/>
      </c>
      <c r="T43" s="177" t="str">
        <f t="shared" si="1"/>
        <v/>
      </c>
      <c r="U43" s="203" t="str">
        <f t="shared" si="11"/>
        <v/>
      </c>
      <c r="V43" s="168"/>
    </row>
    <row r="44" spans="1:22" ht="11.25" customHeight="1">
      <c r="A44" s="169" t="str">
        <f t="shared" si="6"/>
        <v/>
      </c>
      <c r="B44" s="153"/>
      <c r="C44" s="170"/>
      <c r="D44" s="155"/>
      <c r="E44" s="156">
        <f t="shared" si="2"/>
        <v>10</v>
      </c>
      <c r="F44" s="155"/>
      <c r="G44" s="155">
        <v>60</v>
      </c>
      <c r="H44" s="198"/>
      <c r="I44" s="158">
        <f t="shared" si="7"/>
        <v>50</v>
      </c>
      <c r="J44" s="198"/>
      <c r="K44" s="158">
        <f t="shared" si="8"/>
        <v>50</v>
      </c>
      <c r="L44" s="172">
        <f t="shared" si="3"/>
        <v>10</v>
      </c>
      <c r="M44" s="155">
        <v>50</v>
      </c>
      <c r="N44" s="158">
        <f>IF($O$12="0"," ",Transmute)</f>
        <v>75</v>
      </c>
      <c r="O44" s="162">
        <f t="shared" si="4"/>
        <v>15</v>
      </c>
      <c r="P44" s="155"/>
      <c r="Q44" s="159">
        <f t="shared" si="9"/>
        <v>50</v>
      </c>
      <c r="R44" s="204">
        <f t="shared" si="5"/>
        <v>20</v>
      </c>
      <c r="S44" s="176" t="str">
        <f t="shared" si="10"/>
        <v/>
      </c>
      <c r="T44" s="177" t="str">
        <f t="shared" si="1"/>
        <v/>
      </c>
      <c r="U44" s="203" t="str">
        <f t="shared" si="11"/>
        <v/>
      </c>
      <c r="V44" s="168"/>
    </row>
    <row r="45" spans="1:22" ht="11.25" customHeight="1">
      <c r="A45" s="169" t="str">
        <f t="shared" si="6"/>
        <v/>
      </c>
      <c r="B45" s="153"/>
      <c r="C45" s="170"/>
      <c r="D45" s="155"/>
      <c r="E45" s="156">
        <f t="shared" si="2"/>
        <v>10</v>
      </c>
      <c r="F45" s="155"/>
      <c r="G45" s="155">
        <v>60</v>
      </c>
      <c r="H45" s="198"/>
      <c r="I45" s="158">
        <f t="shared" si="7"/>
        <v>50</v>
      </c>
      <c r="J45" s="198"/>
      <c r="K45" s="158">
        <f t="shared" si="8"/>
        <v>50</v>
      </c>
      <c r="L45" s="172">
        <f t="shared" si="3"/>
        <v>10</v>
      </c>
      <c r="M45" s="155">
        <v>50</v>
      </c>
      <c r="N45" s="158">
        <f>IF($O$12="0"," ",Transmute)</f>
        <v>75</v>
      </c>
      <c r="O45" s="162">
        <f t="shared" si="4"/>
        <v>15</v>
      </c>
      <c r="P45" s="155"/>
      <c r="Q45" s="159">
        <f t="shared" si="9"/>
        <v>50</v>
      </c>
      <c r="R45" s="204">
        <f t="shared" si="5"/>
        <v>20</v>
      </c>
      <c r="S45" s="176" t="str">
        <f t="shared" si="10"/>
        <v/>
      </c>
      <c r="T45" s="177" t="str">
        <f t="shared" si="1"/>
        <v/>
      </c>
      <c r="U45" s="203" t="str">
        <f t="shared" si="11"/>
        <v/>
      </c>
      <c r="V45" s="168"/>
    </row>
    <row r="46" spans="1:22" ht="11.25" customHeight="1">
      <c r="A46" s="169" t="str">
        <f t="shared" si="6"/>
        <v/>
      </c>
      <c r="B46" s="153"/>
      <c r="C46" s="170"/>
      <c r="D46" s="155"/>
      <c r="E46" s="156">
        <f t="shared" si="2"/>
        <v>10</v>
      </c>
      <c r="F46" s="155"/>
      <c r="G46" s="155">
        <v>60</v>
      </c>
      <c r="H46" s="198"/>
      <c r="I46" s="158">
        <f t="shared" si="7"/>
        <v>50</v>
      </c>
      <c r="J46" s="198"/>
      <c r="K46" s="158">
        <f t="shared" si="8"/>
        <v>50</v>
      </c>
      <c r="L46" s="172">
        <f t="shared" si="3"/>
        <v>10</v>
      </c>
      <c r="M46" s="155">
        <v>50</v>
      </c>
      <c r="N46" s="158">
        <f>IF($O$12="0"," ",Transmute)</f>
        <v>75</v>
      </c>
      <c r="O46" s="162">
        <f t="shared" si="4"/>
        <v>15</v>
      </c>
      <c r="P46" s="155"/>
      <c r="Q46" s="159">
        <f t="shared" si="9"/>
        <v>50</v>
      </c>
      <c r="R46" s="204">
        <f t="shared" si="5"/>
        <v>20</v>
      </c>
      <c r="S46" s="176" t="str">
        <f t="shared" si="10"/>
        <v/>
      </c>
      <c r="T46" s="177" t="str">
        <f t="shared" si="1"/>
        <v/>
      </c>
      <c r="U46" s="203" t="str">
        <f t="shared" si="11"/>
        <v/>
      </c>
      <c r="V46" s="168"/>
    </row>
    <row r="47" spans="1:22" ht="11.25" customHeight="1">
      <c r="A47" s="169" t="str">
        <f t="shared" si="6"/>
        <v/>
      </c>
      <c r="B47" s="153"/>
      <c r="C47" s="170"/>
      <c r="D47" s="155"/>
      <c r="E47" s="156">
        <f t="shared" si="2"/>
        <v>10</v>
      </c>
      <c r="F47" s="155"/>
      <c r="G47" s="155">
        <v>60</v>
      </c>
      <c r="H47" s="198"/>
      <c r="I47" s="158">
        <f t="shared" si="7"/>
        <v>50</v>
      </c>
      <c r="J47" s="198"/>
      <c r="K47" s="158">
        <f t="shared" si="8"/>
        <v>50</v>
      </c>
      <c r="L47" s="172">
        <f t="shared" si="3"/>
        <v>10</v>
      </c>
      <c r="M47" s="155">
        <v>50</v>
      </c>
      <c r="N47" s="158">
        <f>IF($O$12="0"," ",Transmute)</f>
        <v>75</v>
      </c>
      <c r="O47" s="162">
        <f t="shared" si="4"/>
        <v>15</v>
      </c>
      <c r="P47" s="155"/>
      <c r="Q47" s="159">
        <f t="shared" si="9"/>
        <v>50</v>
      </c>
      <c r="R47" s="204">
        <f t="shared" si="5"/>
        <v>20</v>
      </c>
      <c r="S47" s="176" t="str">
        <f t="shared" si="10"/>
        <v/>
      </c>
      <c r="T47" s="177" t="str">
        <f t="shared" si="1"/>
        <v/>
      </c>
      <c r="U47" s="203" t="str">
        <f t="shared" si="11"/>
        <v/>
      </c>
      <c r="V47" s="168"/>
    </row>
    <row r="48" spans="1:22" ht="11.25" customHeight="1">
      <c r="A48" s="169" t="str">
        <f t="shared" si="6"/>
        <v/>
      </c>
      <c r="B48" s="153"/>
      <c r="C48" s="170"/>
      <c r="D48" s="155"/>
      <c r="E48" s="156">
        <f t="shared" si="2"/>
        <v>10</v>
      </c>
      <c r="F48" s="155"/>
      <c r="G48" s="155">
        <v>60</v>
      </c>
      <c r="H48" s="198"/>
      <c r="I48" s="158">
        <f t="shared" si="7"/>
        <v>50</v>
      </c>
      <c r="J48" s="198"/>
      <c r="K48" s="158">
        <f t="shared" si="8"/>
        <v>50</v>
      </c>
      <c r="L48" s="172">
        <f t="shared" si="3"/>
        <v>10</v>
      </c>
      <c r="M48" s="155">
        <v>50</v>
      </c>
      <c r="N48" s="158">
        <f>IF($O$12="0"," ",Transmute)</f>
        <v>75</v>
      </c>
      <c r="O48" s="162">
        <f t="shared" si="4"/>
        <v>15</v>
      </c>
      <c r="P48" s="155"/>
      <c r="Q48" s="159">
        <f t="shared" si="9"/>
        <v>50</v>
      </c>
      <c r="R48" s="204">
        <f t="shared" si="5"/>
        <v>20</v>
      </c>
      <c r="S48" s="176" t="str">
        <f t="shared" si="10"/>
        <v/>
      </c>
      <c r="T48" s="177" t="str">
        <f t="shared" si="1"/>
        <v/>
      </c>
      <c r="U48" s="203" t="str">
        <f t="shared" si="11"/>
        <v/>
      </c>
      <c r="V48" s="168"/>
    </row>
    <row r="49" spans="1:29" ht="11.25" customHeight="1">
      <c r="A49" s="169" t="str">
        <f t="shared" si="6"/>
        <v/>
      </c>
      <c r="B49" s="153"/>
      <c r="C49" s="170"/>
      <c r="D49" s="155"/>
      <c r="E49" s="156">
        <f t="shared" si="2"/>
        <v>10</v>
      </c>
      <c r="F49" s="155"/>
      <c r="G49" s="155"/>
      <c r="H49" s="198"/>
      <c r="I49" s="158">
        <f t="shared" si="7"/>
        <v>50</v>
      </c>
      <c r="J49" s="198"/>
      <c r="K49" s="158">
        <f t="shared" si="8"/>
        <v>50</v>
      </c>
      <c r="L49" s="172">
        <f t="shared" si="3"/>
        <v>10</v>
      </c>
      <c r="M49" s="155"/>
      <c r="N49" s="158">
        <f>IF($O$12="0"," ",Transmute)</f>
        <v>60</v>
      </c>
      <c r="O49" s="162">
        <f t="shared" si="4"/>
        <v>0</v>
      </c>
      <c r="P49" s="155"/>
      <c r="Q49" s="159">
        <f t="shared" si="9"/>
        <v>50</v>
      </c>
      <c r="R49" s="204">
        <f t="shared" si="5"/>
        <v>20</v>
      </c>
      <c r="S49" s="176" t="str">
        <f t="shared" si="10"/>
        <v/>
      </c>
      <c r="T49" s="177" t="str">
        <f t="shared" si="1"/>
        <v/>
      </c>
      <c r="U49" s="203" t="str">
        <f t="shared" si="11"/>
        <v/>
      </c>
      <c r="V49" s="168"/>
    </row>
    <row r="50" spans="1:29" ht="11.25" customHeight="1">
      <c r="A50" s="169" t="str">
        <f t="shared" si="6"/>
        <v/>
      </c>
      <c r="B50" s="153"/>
      <c r="C50" s="170"/>
      <c r="D50" s="155"/>
      <c r="E50" s="156">
        <f t="shared" si="2"/>
        <v>10</v>
      </c>
      <c r="F50" s="155"/>
      <c r="G50" s="155"/>
      <c r="H50" s="198"/>
      <c r="I50" s="158">
        <f t="shared" si="7"/>
        <v>50</v>
      </c>
      <c r="J50" s="198"/>
      <c r="K50" s="158">
        <f t="shared" si="8"/>
        <v>50</v>
      </c>
      <c r="L50" s="172">
        <f t="shared" si="3"/>
        <v>10</v>
      </c>
      <c r="M50" s="155"/>
      <c r="N50" s="158">
        <f>IF($O$12="0"," ",Transmute)</f>
        <v>60</v>
      </c>
      <c r="O50" s="162">
        <f t="shared" si="4"/>
        <v>0</v>
      </c>
      <c r="P50" s="155"/>
      <c r="Q50" s="159">
        <f t="shared" si="9"/>
        <v>50</v>
      </c>
      <c r="R50" s="204">
        <f t="shared" si="5"/>
        <v>20</v>
      </c>
      <c r="S50" s="176" t="str">
        <f t="shared" si="10"/>
        <v/>
      </c>
      <c r="T50" s="177" t="str">
        <f t="shared" si="1"/>
        <v/>
      </c>
      <c r="U50" s="203" t="str">
        <f t="shared" si="11"/>
        <v/>
      </c>
      <c r="V50" s="168"/>
    </row>
    <row r="51" spans="1:29" ht="11.25" customHeight="1">
      <c r="A51" s="169" t="str">
        <f t="shared" si="6"/>
        <v/>
      </c>
      <c r="B51" s="153"/>
      <c r="C51" s="170"/>
      <c r="D51" s="155"/>
      <c r="E51" s="156">
        <f t="shared" si="2"/>
        <v>10</v>
      </c>
      <c r="F51" s="155"/>
      <c r="G51" s="155"/>
      <c r="H51" s="198"/>
      <c r="I51" s="158">
        <f t="shared" si="7"/>
        <v>50</v>
      </c>
      <c r="J51" s="198"/>
      <c r="K51" s="158">
        <f t="shared" si="8"/>
        <v>50</v>
      </c>
      <c r="L51" s="172">
        <f t="shared" si="3"/>
        <v>10</v>
      </c>
      <c r="M51" s="155"/>
      <c r="N51" s="158">
        <f>IF($O$12="0"," ",Transmute)</f>
        <v>60</v>
      </c>
      <c r="O51" s="162">
        <f t="shared" si="4"/>
        <v>0</v>
      </c>
      <c r="P51" s="155"/>
      <c r="Q51" s="159">
        <f t="shared" si="9"/>
        <v>50</v>
      </c>
      <c r="R51" s="204">
        <f t="shared" si="5"/>
        <v>20</v>
      </c>
      <c r="S51" s="176" t="str">
        <f t="shared" si="10"/>
        <v/>
      </c>
      <c r="T51" s="177" t="str">
        <f t="shared" si="1"/>
        <v/>
      </c>
      <c r="U51" s="203" t="str">
        <f t="shared" si="11"/>
        <v/>
      </c>
      <c r="V51" s="168"/>
    </row>
    <row r="52" spans="1:29" ht="11.25" customHeight="1">
      <c r="A52" s="169" t="str">
        <f t="shared" si="6"/>
        <v/>
      </c>
      <c r="B52" s="153"/>
      <c r="C52" s="170"/>
      <c r="D52" s="155"/>
      <c r="E52" s="156">
        <f t="shared" si="2"/>
        <v>10</v>
      </c>
      <c r="F52" s="155"/>
      <c r="G52" s="155"/>
      <c r="H52" s="198"/>
      <c r="I52" s="158">
        <f t="shared" si="7"/>
        <v>50</v>
      </c>
      <c r="J52" s="198"/>
      <c r="K52" s="158">
        <f t="shared" si="8"/>
        <v>50</v>
      </c>
      <c r="L52" s="172">
        <f t="shared" si="3"/>
        <v>10</v>
      </c>
      <c r="M52" s="155"/>
      <c r="N52" s="158">
        <f>IF($O$12="0"," ",Transmute)</f>
        <v>60</v>
      </c>
      <c r="O52" s="162">
        <f t="shared" si="4"/>
        <v>0</v>
      </c>
      <c r="P52" s="155"/>
      <c r="Q52" s="159">
        <f t="shared" si="9"/>
        <v>50</v>
      </c>
      <c r="R52" s="204">
        <f t="shared" si="5"/>
        <v>20</v>
      </c>
      <c r="S52" s="176" t="str">
        <f t="shared" si="10"/>
        <v/>
      </c>
      <c r="T52" s="177" t="str">
        <f t="shared" si="1"/>
        <v/>
      </c>
      <c r="U52" s="203" t="str">
        <f t="shared" si="11"/>
        <v/>
      </c>
      <c r="V52" s="168"/>
    </row>
    <row r="53" spans="1:29" ht="11.25" customHeight="1">
      <c r="A53" s="169" t="str">
        <f t="shared" si="6"/>
        <v/>
      </c>
      <c r="B53" s="153"/>
      <c r="C53" s="170"/>
      <c r="D53" s="155"/>
      <c r="E53" s="156">
        <f t="shared" si="2"/>
        <v>10</v>
      </c>
      <c r="F53" s="155"/>
      <c r="G53" s="155"/>
      <c r="H53" s="198"/>
      <c r="I53" s="158">
        <f t="shared" si="7"/>
        <v>50</v>
      </c>
      <c r="J53" s="198"/>
      <c r="K53" s="158">
        <f t="shared" si="8"/>
        <v>50</v>
      </c>
      <c r="L53" s="172">
        <f t="shared" si="3"/>
        <v>10</v>
      </c>
      <c r="M53" s="155"/>
      <c r="N53" s="158">
        <f>IF($O$12="0"," ",Transmute)</f>
        <v>60</v>
      </c>
      <c r="O53" s="162">
        <f t="shared" si="4"/>
        <v>0</v>
      </c>
      <c r="P53" s="155"/>
      <c r="Q53" s="159">
        <f t="shared" si="9"/>
        <v>50</v>
      </c>
      <c r="R53" s="204">
        <f t="shared" si="5"/>
        <v>20</v>
      </c>
      <c r="S53" s="176" t="str">
        <f t="shared" si="10"/>
        <v/>
      </c>
      <c r="T53" s="177" t="str">
        <f t="shared" si="1"/>
        <v/>
      </c>
      <c r="U53" s="203" t="str">
        <f t="shared" si="11"/>
        <v/>
      </c>
      <c r="V53" s="168"/>
    </row>
    <row r="54" spans="1:29" ht="11.25" customHeight="1">
      <c r="A54" s="169" t="str">
        <f t="shared" si="6"/>
        <v/>
      </c>
      <c r="B54" s="153"/>
      <c r="C54" s="170"/>
      <c r="D54" s="155"/>
      <c r="E54" s="204">
        <f t="shared" si="2"/>
        <v>10</v>
      </c>
      <c r="F54" s="155"/>
      <c r="G54" s="155"/>
      <c r="H54" s="198"/>
      <c r="I54" s="158">
        <f t="shared" si="7"/>
        <v>50</v>
      </c>
      <c r="J54" s="198"/>
      <c r="K54" s="158">
        <f t="shared" si="8"/>
        <v>50</v>
      </c>
      <c r="L54" s="172">
        <f t="shared" si="3"/>
        <v>10</v>
      </c>
      <c r="M54" s="155"/>
      <c r="N54" s="158">
        <f>IF($O$12="0"," ",Transmute)</f>
        <v>60</v>
      </c>
      <c r="O54" s="162">
        <f t="shared" si="4"/>
        <v>0</v>
      </c>
      <c r="P54" s="155"/>
      <c r="Q54" s="159">
        <f t="shared" si="9"/>
        <v>50</v>
      </c>
      <c r="R54" s="204">
        <f t="shared" si="5"/>
        <v>20</v>
      </c>
      <c r="S54" s="176" t="str">
        <f t="shared" si="10"/>
        <v/>
      </c>
      <c r="T54" s="177" t="str">
        <f t="shared" si="1"/>
        <v/>
      </c>
      <c r="U54" s="203" t="str">
        <f t="shared" si="11"/>
        <v/>
      </c>
      <c r="V54" s="168"/>
    </row>
    <row r="55" spans="1:29" ht="11.25" customHeight="1">
      <c r="A55" s="169" t="str">
        <f t="shared" ref="A55:A59" si="12">IF(ISNONTEXT(B55),"",A54+1)</f>
        <v/>
      </c>
      <c r="B55" s="153"/>
      <c r="C55" s="170"/>
      <c r="D55" s="155"/>
      <c r="E55" s="204">
        <f t="shared" ref="E55:E59" si="13">(($D$12*$J$9)/$D$10)*($D$10-D55)</f>
        <v>10</v>
      </c>
      <c r="F55" s="155"/>
      <c r="G55" s="155"/>
      <c r="H55" s="198"/>
      <c r="I55" s="158">
        <f t="shared" si="7"/>
        <v>50</v>
      </c>
      <c r="J55" s="198"/>
      <c r="K55" s="158">
        <f t="shared" si="8"/>
        <v>50</v>
      </c>
      <c r="L55" s="172">
        <f t="shared" ref="L55:L59" si="14">IF($L$12=0,0,AVERAGE(I55,K55)*$L$12)</f>
        <v>10</v>
      </c>
      <c r="M55" s="155"/>
      <c r="N55" s="158">
        <f>IF($O$12="0"," ",Transmute)</f>
        <v>60</v>
      </c>
      <c r="O55" s="162">
        <f t="shared" si="4"/>
        <v>0</v>
      </c>
      <c r="P55" s="155"/>
      <c r="Q55" s="159">
        <f t="shared" si="9"/>
        <v>50</v>
      </c>
      <c r="R55" s="204">
        <f t="shared" ref="R55:R59" si="15">Q55*$R$12</f>
        <v>20</v>
      </c>
      <c r="S55" s="176" t="str">
        <f t="shared" ref="S55:S59" si="16">IF(ISNUMBER(T55),VLOOKUP(T55,EQTable,2),T55)</f>
        <v/>
      </c>
      <c r="T55" s="177" t="str">
        <f t="shared" si="1"/>
        <v/>
      </c>
      <c r="U55" s="203" t="str">
        <f t="shared" si="11"/>
        <v/>
      </c>
      <c r="V55" s="168"/>
    </row>
    <row r="56" spans="1:29" ht="11.25" customHeight="1">
      <c r="A56" s="169" t="str">
        <f t="shared" si="12"/>
        <v/>
      </c>
      <c r="B56" s="153"/>
      <c r="C56" s="170"/>
      <c r="D56" s="155"/>
      <c r="E56" s="204">
        <f t="shared" si="13"/>
        <v>10</v>
      </c>
      <c r="F56" s="155"/>
      <c r="G56" s="155"/>
      <c r="H56" s="198"/>
      <c r="I56" s="158">
        <f t="shared" si="7"/>
        <v>50</v>
      </c>
      <c r="J56" s="198"/>
      <c r="K56" s="158">
        <f t="shared" si="8"/>
        <v>50</v>
      </c>
      <c r="L56" s="172">
        <f t="shared" si="14"/>
        <v>10</v>
      </c>
      <c r="M56" s="155"/>
      <c r="N56" s="158">
        <f>IF($O$12="0"," ",Transmute)</f>
        <v>60</v>
      </c>
      <c r="O56" s="162">
        <f t="shared" si="4"/>
        <v>0</v>
      </c>
      <c r="P56" s="155"/>
      <c r="Q56" s="159">
        <f t="shared" si="9"/>
        <v>50</v>
      </c>
      <c r="R56" s="204">
        <f t="shared" si="15"/>
        <v>20</v>
      </c>
      <c r="S56" s="176" t="str">
        <f t="shared" si="16"/>
        <v/>
      </c>
      <c r="T56" s="177" t="str">
        <f t="shared" si="1"/>
        <v/>
      </c>
      <c r="U56" s="203" t="str">
        <f t="shared" si="11"/>
        <v/>
      </c>
    </row>
    <row r="57" spans="1:29" ht="11.25" customHeight="1">
      <c r="A57" s="169" t="str">
        <f t="shared" si="12"/>
        <v/>
      </c>
      <c r="B57" s="153"/>
      <c r="C57" s="170"/>
      <c r="D57" s="155"/>
      <c r="E57" s="204">
        <f t="shared" si="13"/>
        <v>10</v>
      </c>
      <c r="F57" s="155"/>
      <c r="G57" s="155"/>
      <c r="H57" s="198"/>
      <c r="I57" s="158">
        <f t="shared" si="7"/>
        <v>50</v>
      </c>
      <c r="J57" s="198"/>
      <c r="K57" s="158">
        <f t="shared" si="8"/>
        <v>50</v>
      </c>
      <c r="L57" s="172">
        <f t="shared" si="14"/>
        <v>10</v>
      </c>
      <c r="M57" s="155"/>
      <c r="N57" s="158">
        <f>IF($O$12="0"," ",Transmute)</f>
        <v>60</v>
      </c>
      <c r="O57" s="162">
        <f t="shared" si="4"/>
        <v>0</v>
      </c>
      <c r="P57" s="155"/>
      <c r="Q57" s="159">
        <f t="shared" si="9"/>
        <v>50</v>
      </c>
      <c r="R57" s="204">
        <f t="shared" si="15"/>
        <v>20</v>
      </c>
      <c r="S57" s="176" t="str">
        <f t="shared" si="16"/>
        <v/>
      </c>
      <c r="T57" s="177" t="str">
        <f t="shared" si="1"/>
        <v/>
      </c>
      <c r="U57" s="203" t="str">
        <f t="shared" si="11"/>
        <v/>
      </c>
    </row>
    <row r="58" spans="1:29" ht="11.25" customHeight="1">
      <c r="A58" s="169" t="str">
        <f t="shared" si="12"/>
        <v/>
      </c>
      <c r="B58" s="153"/>
      <c r="C58" s="170"/>
      <c r="D58" s="155"/>
      <c r="E58" s="204">
        <f t="shared" si="13"/>
        <v>10</v>
      </c>
      <c r="F58" s="155"/>
      <c r="G58" s="155"/>
      <c r="H58" s="198"/>
      <c r="I58" s="158">
        <f t="shared" si="7"/>
        <v>50</v>
      </c>
      <c r="J58" s="198"/>
      <c r="K58" s="158">
        <f t="shared" si="8"/>
        <v>50</v>
      </c>
      <c r="L58" s="172">
        <f t="shared" si="14"/>
        <v>10</v>
      </c>
      <c r="M58" s="155"/>
      <c r="N58" s="158">
        <f>IF($O$12="0"," ",Transmute)</f>
        <v>60</v>
      </c>
      <c r="O58" s="162">
        <f t="shared" si="4"/>
        <v>0</v>
      </c>
      <c r="P58" s="155"/>
      <c r="Q58" s="159">
        <f t="shared" si="9"/>
        <v>50</v>
      </c>
      <c r="R58" s="204">
        <f t="shared" si="15"/>
        <v>20</v>
      </c>
      <c r="S58" s="176" t="str">
        <f t="shared" si="16"/>
        <v/>
      </c>
      <c r="T58" s="177" t="str">
        <f t="shared" si="1"/>
        <v/>
      </c>
      <c r="U58" s="203" t="str">
        <f t="shared" si="11"/>
        <v/>
      </c>
    </row>
    <row r="59" spans="1:29" ht="11.25" customHeight="1">
      <c r="A59" s="169" t="str">
        <f t="shared" si="12"/>
        <v/>
      </c>
      <c r="B59" s="153"/>
      <c r="C59" s="170"/>
      <c r="D59" s="155"/>
      <c r="E59" s="204">
        <f t="shared" si="13"/>
        <v>10</v>
      </c>
      <c r="F59" s="155"/>
      <c r="G59" s="155"/>
      <c r="H59" s="198"/>
      <c r="I59" s="158">
        <f t="shared" si="7"/>
        <v>50</v>
      </c>
      <c r="J59" s="198"/>
      <c r="K59" s="158">
        <f t="shared" si="8"/>
        <v>50</v>
      </c>
      <c r="L59" s="172">
        <f t="shared" si="14"/>
        <v>10</v>
      </c>
      <c r="M59" s="155"/>
      <c r="N59" s="158">
        <f>IF($O$12="0"," ",Transmute)</f>
        <v>60</v>
      </c>
      <c r="O59" s="162">
        <f t="shared" si="4"/>
        <v>0</v>
      </c>
      <c r="P59" s="155"/>
      <c r="Q59" s="159">
        <f t="shared" si="9"/>
        <v>50</v>
      </c>
      <c r="R59" s="204">
        <f t="shared" si="15"/>
        <v>20</v>
      </c>
      <c r="S59" s="176" t="str">
        <f t="shared" si="16"/>
        <v/>
      </c>
      <c r="T59" s="177" t="str">
        <f t="shared" si="1"/>
        <v/>
      </c>
      <c r="U59" s="203" t="str">
        <f t="shared" si="11"/>
        <v/>
      </c>
    </row>
    <row r="60" spans="1:29">
      <c r="AC60"/>
    </row>
    <row r="61" spans="1:29">
      <c r="AC61"/>
    </row>
    <row r="62" spans="1:29">
      <c r="AC62"/>
    </row>
    <row r="63" spans="1:29">
      <c r="AC63"/>
    </row>
    <row r="64" spans="1:29">
      <c r="AC64"/>
    </row>
    <row r="65" spans="29:29">
      <c r="AC65"/>
    </row>
    <row r="66" spans="29:29">
      <c r="AC66"/>
    </row>
    <row r="67" spans="29:29">
      <c r="AC67"/>
    </row>
    <row r="68" spans="29:29">
      <c r="AC68"/>
    </row>
    <row r="69" spans="29:29">
      <c r="AC69"/>
    </row>
    <row r="70" spans="29:29">
      <c r="AC70"/>
    </row>
    <row r="71" spans="29:29">
      <c r="AC71"/>
    </row>
    <row r="72" spans="29:29">
      <c r="AC72"/>
    </row>
    <row r="73" spans="29:29">
      <c r="AC73"/>
    </row>
    <row r="74" spans="29:29">
      <c r="AC74"/>
    </row>
    <row r="75" spans="29:29">
      <c r="AC75"/>
    </row>
    <row r="76" spans="29:29">
      <c r="AC76"/>
    </row>
    <row r="77" spans="29:29">
      <c r="AC77"/>
    </row>
    <row r="78" spans="29:29">
      <c r="AC78"/>
    </row>
    <row r="79" spans="29:29">
      <c r="AC79"/>
    </row>
    <row r="80" spans="29:29">
      <c r="AC80"/>
    </row>
    <row r="81" spans="29:29">
      <c r="AC81"/>
    </row>
    <row r="82" spans="29:29">
      <c r="AC82"/>
    </row>
    <row r="83" spans="29:29">
      <c r="AC83"/>
    </row>
    <row r="84" spans="29:29">
      <c r="AC84"/>
    </row>
    <row r="85" spans="29:29">
      <c r="AC85"/>
    </row>
    <row r="86" spans="29:29">
      <c r="AC86"/>
    </row>
    <row r="87" spans="29:29">
      <c r="AC87"/>
    </row>
    <row r="88" spans="29:29">
      <c r="AC88"/>
    </row>
    <row r="89" spans="29:29">
      <c r="AC89"/>
    </row>
    <row r="90" spans="29:29">
      <c r="AC90"/>
    </row>
    <row r="91" spans="29:29">
      <c r="AC91"/>
    </row>
    <row r="92" spans="29:29">
      <c r="AC92"/>
    </row>
    <row r="93" spans="29:29">
      <c r="AC93"/>
    </row>
    <row r="94" spans="29:29">
      <c r="AC94"/>
    </row>
    <row r="95" spans="29:29">
      <c r="AC95"/>
    </row>
    <row r="96" spans="29:29">
      <c r="AC96"/>
    </row>
    <row r="97" spans="29:29">
      <c r="AC97"/>
    </row>
    <row r="98" spans="29:29">
      <c r="AC98"/>
    </row>
    <row r="99" spans="29:29">
      <c r="AC99"/>
    </row>
    <row r="100" spans="29:29">
      <c r="AC100"/>
    </row>
    <row r="101" spans="29:29">
      <c r="AC101"/>
    </row>
    <row r="102" spans="29:29">
      <c r="AC102"/>
    </row>
    <row r="103" spans="29:29">
      <c r="AC103"/>
    </row>
    <row r="104" spans="29:29">
      <c r="AC104"/>
    </row>
    <row r="105" spans="29:29">
      <c r="AC105"/>
    </row>
    <row r="106" spans="29:29">
      <c r="AC106"/>
    </row>
    <row r="107" spans="29:29">
      <c r="AC107"/>
    </row>
    <row r="108" spans="29:29">
      <c r="AC108"/>
    </row>
    <row r="109" spans="29:29">
      <c r="AC109"/>
    </row>
    <row r="110" spans="29:29">
      <c r="AC110"/>
    </row>
    <row r="111" spans="29:29">
      <c r="AC111"/>
    </row>
    <row r="112" spans="29:29">
      <c r="AC112"/>
    </row>
    <row r="113" spans="29:29">
      <c r="AC113"/>
    </row>
    <row r="114" spans="29:29">
      <c r="AC114"/>
    </row>
    <row r="115" spans="29:29">
      <c r="AC115"/>
    </row>
    <row r="116" spans="29:29">
      <c r="AC116"/>
    </row>
    <row r="117" spans="29:29">
      <c r="AC117"/>
    </row>
    <row r="118" spans="29:29">
      <c r="AC118"/>
    </row>
    <row r="119" spans="29:29">
      <c r="AC119"/>
    </row>
    <row r="120" spans="29:29">
      <c r="AC120"/>
    </row>
    <row r="121" spans="29:29">
      <c r="AC121"/>
    </row>
    <row r="122" spans="29:29">
      <c r="AC122"/>
    </row>
    <row r="123" spans="29:29">
      <c r="AC123"/>
    </row>
    <row r="124" spans="29:29">
      <c r="AC124"/>
    </row>
    <row r="125" spans="29:29">
      <c r="AC125"/>
    </row>
    <row r="126" spans="29:29">
      <c r="AC126"/>
    </row>
    <row r="127" spans="29:29">
      <c r="AC127"/>
    </row>
    <row r="128" spans="29:29">
      <c r="AC128"/>
    </row>
    <row r="129" spans="29:29">
      <c r="AC129"/>
    </row>
    <row r="130" spans="29:29">
      <c r="AC130"/>
    </row>
    <row r="131" spans="29:29">
      <c r="AC131"/>
    </row>
    <row r="132" spans="29:29">
      <c r="AC132"/>
    </row>
    <row r="133" spans="29:29">
      <c r="AC133"/>
    </row>
  </sheetData>
  <sheetProtection algorithmName="SHA-512" hashValue="ltzBkr1Jdaxn6h5Yr2zpW2Ga7eN2N3WKM81NZzKVZ37+aeWRZl4N1UpfB5daXV/w9xYABcRvOMZaNNkfMlvVDA==" saltValue="fHIbT6h3qZshqCaEgA1ZIQ==" spinCount="100000" sheet="1" objects="1" scenarios="1"/>
  <mergeCells count="25">
    <mergeCell ref="P13:P14"/>
    <mergeCell ref="Q13:Q14"/>
    <mergeCell ref="R13:R14"/>
    <mergeCell ref="S13:S14"/>
    <mergeCell ref="T13:U14"/>
    <mergeCell ref="K13:K14"/>
    <mergeCell ref="L13:L14"/>
    <mergeCell ref="M13:M14"/>
    <mergeCell ref="N13:N14"/>
    <mergeCell ref="O13:O14"/>
    <mergeCell ref="F13:F14"/>
    <mergeCell ref="G13:G14"/>
    <mergeCell ref="H13:H14"/>
    <mergeCell ref="I13:I14"/>
    <mergeCell ref="J13:J14"/>
    <mergeCell ref="A12:A14"/>
    <mergeCell ref="B12:B13"/>
    <mergeCell ref="C12:C14"/>
    <mergeCell ref="D13:D14"/>
    <mergeCell ref="E13:E14"/>
    <mergeCell ref="I1:L1"/>
    <mergeCell ref="T1:U1"/>
    <mergeCell ref="B11:C11"/>
    <mergeCell ref="D12:E12"/>
    <mergeCell ref="S12:T12"/>
  </mergeCells>
  <conditionalFormatting sqref="B15:U59">
    <cfRule type="expression" dxfId="26" priority="11">
      <formula>AND($X$1=-1,$U15="Fail",$T15&gt;=$D$9)</formula>
    </cfRule>
  </conditionalFormatting>
  <conditionalFormatting sqref="E15:E59 I15:I59 K15:L59 N15:O59 Q15:R59">
    <cfRule type="expression" dxfId="25" priority="12" stopIfTrue="1">
      <formula>ISNONTEXT($B15)</formula>
    </cfRule>
  </conditionalFormatting>
  <conditionalFormatting sqref="E15:R59">
    <cfRule type="expression" dxfId="24" priority="94">
      <formula>OR($U15="dna",$U15="drp",$U$12&lt;&gt;1)</formula>
    </cfRule>
  </conditionalFormatting>
  <conditionalFormatting sqref="S15:T59">
    <cfRule type="expression" dxfId="23" priority="4">
      <formula>$U15="inc"</formula>
    </cfRule>
    <cfRule type="expression" dxfId="22" priority="6">
      <formula>$U15="drp"</formula>
    </cfRule>
    <cfRule type="expression" dxfId="21" priority="8">
      <formula>$U15="dna"</formula>
    </cfRule>
  </conditionalFormatting>
  <conditionalFormatting sqref="S15:U59">
    <cfRule type="expression" dxfId="20" priority="13">
      <formula>OR(S15="inc",S15="Fail",AND(ISNUMBER(S15),S15&lt;75,S15&gt;=3))</formula>
    </cfRule>
  </conditionalFormatting>
  <conditionalFormatting sqref="T15:U59">
    <cfRule type="expression" dxfId="19" priority="2">
      <formula>OR($U15="dna",$U15="drp",$U$12&lt;&gt;1)</formula>
    </cfRule>
  </conditionalFormatting>
  <dataValidations count="9">
    <dataValidation type="decimal" showInputMessage="1" showErrorMessage="1" errorTitle="Out of Range" error="72 - 75" sqref="D9" xr:uid="{00000000-0002-0000-0100-000000000000}">
      <formula1>72</formula1>
      <formula2>75</formula2>
    </dataValidation>
    <dataValidation type="decimal" showInputMessage="1" showErrorMessage="1" errorTitle="Out of Range" error="50 - 71" sqref="G9" xr:uid="{00000000-0002-0000-0100-000001000000}">
      <formula1>50</formula1>
      <formula2>71</formula2>
    </dataValidation>
    <dataValidation type="decimal" showInputMessage="1" showErrorMessage="1" errorTitle="Out of Range" error="97 - 100" sqref="J9" xr:uid="{00000000-0002-0000-0100-000002000000}">
      <formula1>97</formula1>
      <formula2>100</formula2>
    </dataValidation>
    <dataValidation type="decimal" allowBlank="1" showInputMessage="1" showErrorMessage="1" errorTitle="Out of Range" error="Please Check_x000a_Number of Meetings " sqref="D15:D59" xr:uid="{00000000-0002-0000-0100-000003000000}">
      <formula1>0</formula1>
      <formula2>$D$10</formula2>
    </dataValidation>
    <dataValidation type="whole" allowBlank="1" showInputMessage="1" showErrorMessage="1" errorTitle="Out of Range" error="Please Check_x000a_Total Items of Quiz 1" sqref="H15:H59" xr:uid="{00000000-0002-0000-0100-000004000000}">
      <formula1>0</formula1>
      <formula2>$I$12</formula2>
    </dataValidation>
    <dataValidation type="whole" allowBlank="1" showInputMessage="1" showErrorMessage="1" errorTitle="Out of Range" error="Please Check_x000a_Total Items of Quiz 2" sqref="J15:J59" xr:uid="{00000000-0002-0000-0100-000005000000}">
      <formula1>0</formula1>
      <formula2>$K$12</formula2>
    </dataValidation>
    <dataValidation type="whole" showInputMessage="1" showErrorMessage="1" errorTitle="Out of Range" error="Minimum grade is 50" sqref="M15:M59" xr:uid="{00000000-0002-0000-0100-000006000000}">
      <formula1>50</formula1>
      <formula2>100</formula2>
    </dataValidation>
    <dataValidation type="whole" showInputMessage="1" showErrorMessage="1" errorTitle="Out of Range" error="Please Check_x000a_Total Items of Major Exam" sqref="P15:P59" xr:uid="{00000000-0002-0000-0100-000007000000}">
      <formula1>0</formula1>
      <formula2>$Q$12</formula2>
    </dataValidation>
    <dataValidation type="decimal" showInputMessage="1" showErrorMessage="1" errorTitle="Out of Range" error="Minimum grade is 50" sqref="F15:G59" xr:uid="{00000000-0002-0000-0100-000008000000}">
      <formula1>50</formula1>
      <formula2>100</formula2>
    </dataValidation>
  </dataValidations>
  <pageMargins left="0.25" right="0.25" top="0.75" bottom="0.75" header="0.3" footer="0.3"/>
  <pageSetup paperSize="219" fitToHeight="2" orientation="landscape"/>
  <headerFooter>
    <oddFooter>&amp;C&amp;8&amp;F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WWC133"/>
  <sheetViews>
    <sheetView zoomScale="85" zoomScaleNormal="85" workbookViewId="0">
      <pane xSplit="2" ySplit="14" topLeftCell="C21" activePane="bottomRight" state="frozen"/>
      <selection pane="topRight"/>
      <selection pane="bottomLeft"/>
      <selection pane="bottomRight" activeCell="J31" sqref="J31"/>
    </sheetView>
  </sheetViews>
  <sheetFormatPr defaultColWidth="9" defaultRowHeight="14.4"/>
  <cols>
    <col min="1" max="1" width="3.5546875" customWidth="1"/>
    <col min="2" max="2" width="26.5546875" customWidth="1"/>
    <col min="3" max="3" width="8.109375" customWidth="1"/>
    <col min="4" max="4" width="4.6640625" customWidth="1"/>
    <col min="5" max="5" width="5.33203125" customWidth="1"/>
    <col min="6" max="7" width="5.109375" customWidth="1"/>
    <col min="8" max="8" width="5" customWidth="1"/>
    <col min="9" max="9" width="6.5546875" customWidth="1"/>
    <col min="10" max="10" width="5" customWidth="1"/>
    <col min="11" max="11" width="6.5546875" customWidth="1"/>
    <col min="12" max="12" width="6.44140625" customWidth="1"/>
    <col min="13" max="13" width="5" customWidth="1"/>
    <col min="14" max="14" width="6.33203125" hidden="1" customWidth="1"/>
    <col min="15" max="15" width="6.5546875" customWidth="1"/>
    <col min="16" max="16" width="5.6640625" customWidth="1"/>
    <col min="17" max="18" width="6.5546875" customWidth="1"/>
    <col min="19" max="19" width="0.109375" customWidth="1"/>
    <col min="20" max="21" width="6.6640625" customWidth="1"/>
    <col min="22" max="22" width="8.88671875" customWidth="1"/>
    <col min="23" max="28" width="9.109375" hidden="1" customWidth="1"/>
    <col min="29" max="29" width="9.109375" style="87" hidden="1" customWidth="1"/>
    <col min="30" max="30" width="9.88671875" hidden="1" customWidth="1"/>
    <col min="31" max="31" width="9.109375" hidden="1" customWidth="1"/>
    <col min="32" max="32" width="6.5546875" hidden="1" customWidth="1"/>
    <col min="33" max="230" width="9.109375"/>
    <col min="231" max="231" width="3.5546875" customWidth="1"/>
    <col min="232" max="232" width="27.109375" customWidth="1"/>
    <col min="233" max="233" width="8.109375" customWidth="1"/>
    <col min="234" max="234" width="5" customWidth="1"/>
    <col min="235" max="235" width="6" customWidth="1"/>
    <col min="236" max="238" width="6.5546875" customWidth="1"/>
    <col min="239" max="240" width="7.5546875" customWidth="1"/>
    <col min="241" max="242" width="9" hidden="1" customWidth="1"/>
    <col min="243" max="243" width="7.109375" customWidth="1"/>
    <col min="244" max="244" width="7.5546875" customWidth="1"/>
    <col min="245" max="246" width="9" hidden="1" customWidth="1"/>
    <col min="247" max="247" width="0.109375" customWidth="1"/>
    <col min="248" max="248" width="9" hidden="1" customWidth="1"/>
    <col min="249" max="249" width="7.5546875" customWidth="1"/>
    <col min="250" max="250" width="7.6640625" customWidth="1"/>
    <col min="251" max="251" width="8.109375" customWidth="1"/>
    <col min="252" max="252" width="7.5546875" customWidth="1"/>
    <col min="253" max="254" width="9" hidden="1" customWidth="1"/>
    <col min="255" max="255" width="6.5546875" customWidth="1"/>
    <col min="256" max="256" width="7.33203125" customWidth="1"/>
    <col min="257" max="258" width="7.5546875" customWidth="1"/>
    <col min="259" max="260" width="9" hidden="1" customWidth="1"/>
    <col min="261" max="262" width="5.5546875" customWidth="1"/>
    <col min="263" max="263" width="7" customWidth="1"/>
    <col min="264" max="265" width="9" hidden="1" customWidth="1"/>
    <col min="266" max="266" width="8.88671875" customWidth="1"/>
    <col min="267" max="267" width="9.109375"/>
    <col min="268" max="277" width="9" hidden="1" customWidth="1"/>
    <col min="278" max="486" width="9.109375"/>
    <col min="487" max="487" width="3.5546875" customWidth="1"/>
    <col min="488" max="488" width="27.109375" customWidth="1"/>
    <col min="489" max="489" width="8.109375" customWidth="1"/>
    <col min="490" max="490" width="5" customWidth="1"/>
    <col min="491" max="491" width="6" customWidth="1"/>
    <col min="492" max="494" width="6.5546875" customWidth="1"/>
    <col min="495" max="496" width="7.5546875" customWidth="1"/>
    <col min="497" max="498" width="9" hidden="1" customWidth="1"/>
    <col min="499" max="499" width="7.109375" customWidth="1"/>
    <col min="500" max="500" width="7.5546875" customWidth="1"/>
    <col min="501" max="502" width="9" hidden="1" customWidth="1"/>
    <col min="503" max="503" width="0.109375" customWidth="1"/>
    <col min="504" max="504" width="9" hidden="1" customWidth="1"/>
    <col min="505" max="505" width="7.5546875" customWidth="1"/>
    <col min="506" max="506" width="7.6640625" customWidth="1"/>
    <col min="507" max="507" width="8.109375" customWidth="1"/>
    <col min="508" max="508" width="7.5546875" customWidth="1"/>
    <col min="509" max="510" width="9" hidden="1" customWidth="1"/>
    <col min="511" max="511" width="6.5546875" customWidth="1"/>
    <col min="512" max="512" width="7.33203125" customWidth="1"/>
    <col min="513" max="514" width="7.5546875" customWidth="1"/>
    <col min="515" max="516" width="9" hidden="1" customWidth="1"/>
    <col min="517" max="518" width="5.5546875" customWidth="1"/>
    <col min="519" max="519" width="7" customWidth="1"/>
    <col min="520" max="521" width="9" hidden="1" customWidth="1"/>
    <col min="522" max="522" width="8.88671875" customWidth="1"/>
    <col min="523" max="523" width="9.109375"/>
    <col min="524" max="533" width="9" hidden="1" customWidth="1"/>
    <col min="534" max="742" width="9.109375"/>
    <col min="743" max="743" width="3.5546875" customWidth="1"/>
    <col min="744" max="744" width="27.109375" customWidth="1"/>
    <col min="745" max="745" width="8.109375" customWidth="1"/>
    <col min="746" max="746" width="5" customWidth="1"/>
    <col min="747" max="747" width="6" customWidth="1"/>
    <col min="748" max="750" width="6.5546875" customWidth="1"/>
    <col min="751" max="752" width="7.5546875" customWidth="1"/>
    <col min="753" max="754" width="9" hidden="1" customWidth="1"/>
    <col min="755" max="755" width="7.109375" customWidth="1"/>
    <col min="756" max="756" width="7.5546875" customWidth="1"/>
    <col min="757" max="758" width="9" hidden="1" customWidth="1"/>
    <col min="759" max="759" width="0.109375" customWidth="1"/>
    <col min="760" max="760" width="9" hidden="1" customWidth="1"/>
    <col min="761" max="761" width="7.5546875" customWidth="1"/>
    <col min="762" max="762" width="7.6640625" customWidth="1"/>
    <col min="763" max="763" width="8.109375" customWidth="1"/>
    <col min="764" max="764" width="7.5546875" customWidth="1"/>
    <col min="765" max="766" width="9" hidden="1" customWidth="1"/>
    <col min="767" max="767" width="6.5546875" customWidth="1"/>
    <col min="768" max="768" width="7.33203125" customWidth="1"/>
    <col min="769" max="770" width="7.5546875" customWidth="1"/>
    <col min="771" max="772" width="9" hidden="1" customWidth="1"/>
    <col min="773" max="774" width="5.5546875" customWidth="1"/>
    <col min="775" max="775" width="7" customWidth="1"/>
    <col min="776" max="777" width="9" hidden="1" customWidth="1"/>
    <col min="778" max="778" width="8.88671875" customWidth="1"/>
    <col min="779" max="779" width="9.109375"/>
    <col min="780" max="789" width="9" hidden="1" customWidth="1"/>
    <col min="790" max="998" width="9.109375"/>
    <col min="999" max="999" width="3.5546875" customWidth="1"/>
    <col min="1000" max="1000" width="27.109375" customWidth="1"/>
    <col min="1001" max="1001" width="8.109375" customWidth="1"/>
    <col min="1002" max="1002" width="5" customWidth="1"/>
    <col min="1003" max="1003" width="6" customWidth="1"/>
    <col min="1004" max="1006" width="6.5546875" customWidth="1"/>
    <col min="1007" max="1008" width="7.5546875" customWidth="1"/>
    <col min="1009" max="1010" width="9" hidden="1" customWidth="1"/>
    <col min="1011" max="1011" width="7.109375" customWidth="1"/>
    <col min="1012" max="1012" width="7.5546875" customWidth="1"/>
    <col min="1013" max="1014" width="9" hidden="1" customWidth="1"/>
    <col min="1015" max="1015" width="0.109375" customWidth="1"/>
    <col min="1016" max="1016" width="9" hidden="1" customWidth="1"/>
    <col min="1017" max="1017" width="7.5546875" customWidth="1"/>
    <col min="1018" max="1018" width="7.6640625" customWidth="1"/>
    <col min="1019" max="1019" width="8.109375" customWidth="1"/>
    <col min="1020" max="1020" width="7.5546875" customWidth="1"/>
    <col min="1021" max="1022" width="9" hidden="1" customWidth="1"/>
    <col min="1023" max="1023" width="6.5546875" customWidth="1"/>
    <col min="1024" max="1024" width="7.33203125" customWidth="1"/>
    <col min="1025" max="1026" width="7.5546875" customWidth="1"/>
    <col min="1027" max="1028" width="9" hidden="1" customWidth="1"/>
    <col min="1029" max="1030" width="5.5546875" customWidth="1"/>
    <col min="1031" max="1031" width="7" customWidth="1"/>
    <col min="1032" max="1033" width="9" hidden="1" customWidth="1"/>
    <col min="1034" max="1034" width="8.88671875" customWidth="1"/>
    <col min="1035" max="1035" width="9.109375"/>
    <col min="1036" max="1045" width="9" hidden="1" customWidth="1"/>
    <col min="1046" max="1254" width="9.109375"/>
    <col min="1255" max="1255" width="3.5546875" customWidth="1"/>
    <col min="1256" max="1256" width="27.109375" customWidth="1"/>
    <col min="1257" max="1257" width="8.109375" customWidth="1"/>
    <col min="1258" max="1258" width="5" customWidth="1"/>
    <col min="1259" max="1259" width="6" customWidth="1"/>
    <col min="1260" max="1262" width="6.5546875" customWidth="1"/>
    <col min="1263" max="1264" width="7.5546875" customWidth="1"/>
    <col min="1265" max="1266" width="9" hidden="1" customWidth="1"/>
    <col min="1267" max="1267" width="7.109375" customWidth="1"/>
    <col min="1268" max="1268" width="7.5546875" customWidth="1"/>
    <col min="1269" max="1270" width="9" hidden="1" customWidth="1"/>
    <col min="1271" max="1271" width="0.109375" customWidth="1"/>
    <col min="1272" max="1272" width="9" hidden="1" customWidth="1"/>
    <col min="1273" max="1273" width="7.5546875" customWidth="1"/>
    <col min="1274" max="1274" width="7.6640625" customWidth="1"/>
    <col min="1275" max="1275" width="8.109375" customWidth="1"/>
    <col min="1276" max="1276" width="7.5546875" customWidth="1"/>
    <col min="1277" max="1278" width="9" hidden="1" customWidth="1"/>
    <col min="1279" max="1279" width="6.5546875" customWidth="1"/>
    <col min="1280" max="1280" width="7.33203125" customWidth="1"/>
    <col min="1281" max="1282" width="7.5546875" customWidth="1"/>
    <col min="1283" max="1284" width="9" hidden="1" customWidth="1"/>
    <col min="1285" max="1286" width="5.5546875" customWidth="1"/>
    <col min="1287" max="1287" width="7" customWidth="1"/>
    <col min="1288" max="1289" width="9" hidden="1" customWidth="1"/>
    <col min="1290" max="1290" width="8.88671875" customWidth="1"/>
    <col min="1291" max="1291" width="9.109375"/>
    <col min="1292" max="1301" width="9" hidden="1" customWidth="1"/>
    <col min="1302" max="1510" width="9.109375"/>
    <col min="1511" max="1511" width="3.5546875" customWidth="1"/>
    <col min="1512" max="1512" width="27.109375" customWidth="1"/>
    <col min="1513" max="1513" width="8.109375" customWidth="1"/>
    <col min="1514" max="1514" width="5" customWidth="1"/>
    <col min="1515" max="1515" width="6" customWidth="1"/>
    <col min="1516" max="1518" width="6.5546875" customWidth="1"/>
    <col min="1519" max="1520" width="7.5546875" customWidth="1"/>
    <col min="1521" max="1522" width="9" hidden="1" customWidth="1"/>
    <col min="1523" max="1523" width="7.109375" customWidth="1"/>
    <col min="1524" max="1524" width="7.5546875" customWidth="1"/>
    <col min="1525" max="1526" width="9" hidden="1" customWidth="1"/>
    <col min="1527" max="1527" width="0.109375" customWidth="1"/>
    <col min="1528" max="1528" width="9" hidden="1" customWidth="1"/>
    <col min="1529" max="1529" width="7.5546875" customWidth="1"/>
    <col min="1530" max="1530" width="7.6640625" customWidth="1"/>
    <col min="1531" max="1531" width="8.109375" customWidth="1"/>
    <col min="1532" max="1532" width="7.5546875" customWidth="1"/>
    <col min="1533" max="1534" width="9" hidden="1" customWidth="1"/>
    <col min="1535" max="1535" width="6.5546875" customWidth="1"/>
    <col min="1536" max="1536" width="7.33203125" customWidth="1"/>
    <col min="1537" max="1538" width="7.5546875" customWidth="1"/>
    <col min="1539" max="1540" width="9" hidden="1" customWidth="1"/>
    <col min="1541" max="1542" width="5.5546875" customWidth="1"/>
    <col min="1543" max="1543" width="7" customWidth="1"/>
    <col min="1544" max="1545" width="9" hidden="1" customWidth="1"/>
    <col min="1546" max="1546" width="8.88671875" customWidth="1"/>
    <col min="1547" max="1547" width="9.109375"/>
    <col min="1548" max="1557" width="9" hidden="1" customWidth="1"/>
    <col min="1558" max="1766" width="9.109375"/>
    <col min="1767" max="1767" width="3.5546875" customWidth="1"/>
    <col min="1768" max="1768" width="27.109375" customWidth="1"/>
    <col min="1769" max="1769" width="8.109375" customWidth="1"/>
    <col min="1770" max="1770" width="5" customWidth="1"/>
    <col min="1771" max="1771" width="6" customWidth="1"/>
    <col min="1772" max="1774" width="6.5546875" customWidth="1"/>
    <col min="1775" max="1776" width="7.5546875" customWidth="1"/>
    <col min="1777" max="1778" width="9" hidden="1" customWidth="1"/>
    <col min="1779" max="1779" width="7.109375" customWidth="1"/>
    <col min="1780" max="1780" width="7.5546875" customWidth="1"/>
    <col min="1781" max="1782" width="9" hidden="1" customWidth="1"/>
    <col min="1783" max="1783" width="0.109375" customWidth="1"/>
    <col min="1784" max="1784" width="9" hidden="1" customWidth="1"/>
    <col min="1785" max="1785" width="7.5546875" customWidth="1"/>
    <col min="1786" max="1786" width="7.6640625" customWidth="1"/>
    <col min="1787" max="1787" width="8.109375" customWidth="1"/>
    <col min="1788" max="1788" width="7.5546875" customWidth="1"/>
    <col min="1789" max="1790" width="9" hidden="1" customWidth="1"/>
    <col min="1791" max="1791" width="6.5546875" customWidth="1"/>
    <col min="1792" max="1792" width="7.33203125" customWidth="1"/>
    <col min="1793" max="1794" width="7.5546875" customWidth="1"/>
    <col min="1795" max="1796" width="9" hidden="1" customWidth="1"/>
    <col min="1797" max="1798" width="5.5546875" customWidth="1"/>
    <col min="1799" max="1799" width="7" customWidth="1"/>
    <col min="1800" max="1801" width="9" hidden="1" customWidth="1"/>
    <col min="1802" max="1802" width="8.88671875" customWidth="1"/>
    <col min="1803" max="1803" width="9.109375"/>
    <col min="1804" max="1813" width="9" hidden="1" customWidth="1"/>
    <col min="1814" max="2022" width="9.109375"/>
    <col min="2023" max="2023" width="3.5546875" customWidth="1"/>
    <col min="2024" max="2024" width="27.109375" customWidth="1"/>
    <col min="2025" max="2025" width="8.109375" customWidth="1"/>
    <col min="2026" max="2026" width="5" customWidth="1"/>
    <col min="2027" max="2027" width="6" customWidth="1"/>
    <col min="2028" max="2030" width="6.5546875" customWidth="1"/>
    <col min="2031" max="2032" width="7.5546875" customWidth="1"/>
    <col min="2033" max="2034" width="9" hidden="1" customWidth="1"/>
    <col min="2035" max="2035" width="7.109375" customWidth="1"/>
    <col min="2036" max="2036" width="7.5546875" customWidth="1"/>
    <col min="2037" max="2038" width="9" hidden="1" customWidth="1"/>
    <col min="2039" max="2039" width="0.109375" customWidth="1"/>
    <col min="2040" max="2040" width="9" hidden="1" customWidth="1"/>
    <col min="2041" max="2041" width="7.5546875" customWidth="1"/>
    <col min="2042" max="2042" width="7.6640625" customWidth="1"/>
    <col min="2043" max="2043" width="8.109375" customWidth="1"/>
    <col min="2044" max="2044" width="7.5546875" customWidth="1"/>
    <col min="2045" max="2046" width="9" hidden="1" customWidth="1"/>
    <col min="2047" max="2047" width="6.5546875" customWidth="1"/>
    <col min="2048" max="2048" width="7.33203125" customWidth="1"/>
    <col min="2049" max="2050" width="7.5546875" customWidth="1"/>
    <col min="2051" max="2052" width="9" hidden="1" customWidth="1"/>
    <col min="2053" max="2054" width="5.5546875" customWidth="1"/>
    <col min="2055" max="2055" width="7" customWidth="1"/>
    <col min="2056" max="2057" width="9" hidden="1" customWidth="1"/>
    <col min="2058" max="2058" width="8.88671875" customWidth="1"/>
    <col min="2059" max="2059" width="9.109375"/>
    <col min="2060" max="2069" width="9" hidden="1" customWidth="1"/>
    <col min="2070" max="2278" width="9.109375"/>
    <col min="2279" max="2279" width="3.5546875" customWidth="1"/>
    <col min="2280" max="2280" width="27.109375" customWidth="1"/>
    <col min="2281" max="2281" width="8.109375" customWidth="1"/>
    <col min="2282" max="2282" width="5" customWidth="1"/>
    <col min="2283" max="2283" width="6" customWidth="1"/>
    <col min="2284" max="2286" width="6.5546875" customWidth="1"/>
    <col min="2287" max="2288" width="7.5546875" customWidth="1"/>
    <col min="2289" max="2290" width="9" hidden="1" customWidth="1"/>
    <col min="2291" max="2291" width="7.109375" customWidth="1"/>
    <col min="2292" max="2292" width="7.5546875" customWidth="1"/>
    <col min="2293" max="2294" width="9" hidden="1" customWidth="1"/>
    <col min="2295" max="2295" width="0.109375" customWidth="1"/>
    <col min="2296" max="2296" width="9" hidden="1" customWidth="1"/>
    <col min="2297" max="2297" width="7.5546875" customWidth="1"/>
    <col min="2298" max="2298" width="7.6640625" customWidth="1"/>
    <col min="2299" max="2299" width="8.109375" customWidth="1"/>
    <col min="2300" max="2300" width="7.5546875" customWidth="1"/>
    <col min="2301" max="2302" width="9" hidden="1" customWidth="1"/>
    <col min="2303" max="2303" width="6.5546875" customWidth="1"/>
    <col min="2304" max="2304" width="7.33203125" customWidth="1"/>
    <col min="2305" max="2306" width="7.5546875" customWidth="1"/>
    <col min="2307" max="2308" width="9" hidden="1" customWidth="1"/>
    <col min="2309" max="2310" width="5.5546875" customWidth="1"/>
    <col min="2311" max="2311" width="7" customWidth="1"/>
    <col min="2312" max="2313" width="9" hidden="1" customWidth="1"/>
    <col min="2314" max="2314" width="8.88671875" customWidth="1"/>
    <col min="2315" max="2315" width="9.109375"/>
    <col min="2316" max="2325" width="9" hidden="1" customWidth="1"/>
    <col min="2326" max="2534" width="9.109375"/>
    <col min="2535" max="2535" width="3.5546875" customWidth="1"/>
    <col min="2536" max="2536" width="27.109375" customWidth="1"/>
    <col min="2537" max="2537" width="8.109375" customWidth="1"/>
    <col min="2538" max="2538" width="5" customWidth="1"/>
    <col min="2539" max="2539" width="6" customWidth="1"/>
    <col min="2540" max="2542" width="6.5546875" customWidth="1"/>
    <col min="2543" max="2544" width="7.5546875" customWidth="1"/>
    <col min="2545" max="2546" width="9" hidden="1" customWidth="1"/>
    <col min="2547" max="2547" width="7.109375" customWidth="1"/>
    <col min="2548" max="2548" width="7.5546875" customWidth="1"/>
    <col min="2549" max="2550" width="9" hidden="1" customWidth="1"/>
    <col min="2551" max="2551" width="0.109375" customWidth="1"/>
    <col min="2552" max="2552" width="9" hidden="1" customWidth="1"/>
    <col min="2553" max="2553" width="7.5546875" customWidth="1"/>
    <col min="2554" max="2554" width="7.6640625" customWidth="1"/>
    <col min="2555" max="2555" width="8.109375" customWidth="1"/>
    <col min="2556" max="2556" width="7.5546875" customWidth="1"/>
    <col min="2557" max="2558" width="9" hidden="1" customWidth="1"/>
    <col min="2559" max="2559" width="6.5546875" customWidth="1"/>
    <col min="2560" max="2560" width="7.33203125" customWidth="1"/>
    <col min="2561" max="2562" width="7.5546875" customWidth="1"/>
    <col min="2563" max="2564" width="9" hidden="1" customWidth="1"/>
    <col min="2565" max="2566" width="5.5546875" customWidth="1"/>
    <col min="2567" max="2567" width="7" customWidth="1"/>
    <col min="2568" max="2569" width="9" hidden="1" customWidth="1"/>
    <col min="2570" max="2570" width="8.88671875" customWidth="1"/>
    <col min="2571" max="2571" width="9.109375"/>
    <col min="2572" max="2581" width="9" hidden="1" customWidth="1"/>
    <col min="2582" max="2790" width="9.109375"/>
    <col min="2791" max="2791" width="3.5546875" customWidth="1"/>
    <col min="2792" max="2792" width="27.109375" customWidth="1"/>
    <col min="2793" max="2793" width="8.109375" customWidth="1"/>
    <col min="2794" max="2794" width="5" customWidth="1"/>
    <col min="2795" max="2795" width="6" customWidth="1"/>
    <col min="2796" max="2798" width="6.5546875" customWidth="1"/>
    <col min="2799" max="2800" width="7.5546875" customWidth="1"/>
    <col min="2801" max="2802" width="9" hidden="1" customWidth="1"/>
    <col min="2803" max="2803" width="7.109375" customWidth="1"/>
    <col min="2804" max="2804" width="7.5546875" customWidth="1"/>
    <col min="2805" max="2806" width="9" hidden="1" customWidth="1"/>
    <col min="2807" max="2807" width="0.109375" customWidth="1"/>
    <col min="2808" max="2808" width="9" hidden="1" customWidth="1"/>
    <col min="2809" max="2809" width="7.5546875" customWidth="1"/>
    <col min="2810" max="2810" width="7.6640625" customWidth="1"/>
    <col min="2811" max="2811" width="8.109375" customWidth="1"/>
    <col min="2812" max="2812" width="7.5546875" customWidth="1"/>
    <col min="2813" max="2814" width="9" hidden="1" customWidth="1"/>
    <col min="2815" max="2815" width="6.5546875" customWidth="1"/>
    <col min="2816" max="2816" width="7.33203125" customWidth="1"/>
    <col min="2817" max="2818" width="7.5546875" customWidth="1"/>
    <col min="2819" max="2820" width="9" hidden="1" customWidth="1"/>
    <col min="2821" max="2822" width="5.5546875" customWidth="1"/>
    <col min="2823" max="2823" width="7" customWidth="1"/>
    <col min="2824" max="2825" width="9" hidden="1" customWidth="1"/>
    <col min="2826" max="2826" width="8.88671875" customWidth="1"/>
    <col min="2827" max="2827" width="9.109375"/>
    <col min="2828" max="2837" width="9" hidden="1" customWidth="1"/>
    <col min="2838" max="3046" width="9.109375"/>
    <col min="3047" max="3047" width="3.5546875" customWidth="1"/>
    <col min="3048" max="3048" width="27.109375" customWidth="1"/>
    <col min="3049" max="3049" width="8.109375" customWidth="1"/>
    <col min="3050" max="3050" width="5" customWidth="1"/>
    <col min="3051" max="3051" width="6" customWidth="1"/>
    <col min="3052" max="3054" width="6.5546875" customWidth="1"/>
    <col min="3055" max="3056" width="7.5546875" customWidth="1"/>
    <col min="3057" max="3058" width="9" hidden="1" customWidth="1"/>
    <col min="3059" max="3059" width="7.109375" customWidth="1"/>
    <col min="3060" max="3060" width="7.5546875" customWidth="1"/>
    <col min="3061" max="3062" width="9" hidden="1" customWidth="1"/>
    <col min="3063" max="3063" width="0.109375" customWidth="1"/>
    <col min="3064" max="3064" width="9" hidden="1" customWidth="1"/>
    <col min="3065" max="3065" width="7.5546875" customWidth="1"/>
    <col min="3066" max="3066" width="7.6640625" customWidth="1"/>
    <col min="3067" max="3067" width="8.109375" customWidth="1"/>
    <col min="3068" max="3068" width="7.5546875" customWidth="1"/>
    <col min="3069" max="3070" width="9" hidden="1" customWidth="1"/>
    <col min="3071" max="3071" width="6.5546875" customWidth="1"/>
    <col min="3072" max="3072" width="7.33203125" customWidth="1"/>
    <col min="3073" max="3074" width="7.5546875" customWidth="1"/>
    <col min="3075" max="3076" width="9" hidden="1" customWidth="1"/>
    <col min="3077" max="3078" width="5.5546875" customWidth="1"/>
    <col min="3079" max="3079" width="7" customWidth="1"/>
    <col min="3080" max="3081" width="9" hidden="1" customWidth="1"/>
    <col min="3082" max="3082" width="8.88671875" customWidth="1"/>
    <col min="3083" max="3083" width="9.109375"/>
    <col min="3084" max="3093" width="9" hidden="1" customWidth="1"/>
    <col min="3094" max="3302" width="9.109375"/>
    <col min="3303" max="3303" width="3.5546875" customWidth="1"/>
    <col min="3304" max="3304" width="27.109375" customWidth="1"/>
    <col min="3305" max="3305" width="8.109375" customWidth="1"/>
    <col min="3306" max="3306" width="5" customWidth="1"/>
    <col min="3307" max="3307" width="6" customWidth="1"/>
    <col min="3308" max="3310" width="6.5546875" customWidth="1"/>
    <col min="3311" max="3312" width="7.5546875" customWidth="1"/>
    <col min="3313" max="3314" width="9" hidden="1" customWidth="1"/>
    <col min="3315" max="3315" width="7.109375" customWidth="1"/>
    <col min="3316" max="3316" width="7.5546875" customWidth="1"/>
    <col min="3317" max="3318" width="9" hidden="1" customWidth="1"/>
    <col min="3319" max="3319" width="0.109375" customWidth="1"/>
    <col min="3320" max="3320" width="9" hidden="1" customWidth="1"/>
    <col min="3321" max="3321" width="7.5546875" customWidth="1"/>
    <col min="3322" max="3322" width="7.6640625" customWidth="1"/>
    <col min="3323" max="3323" width="8.109375" customWidth="1"/>
    <col min="3324" max="3324" width="7.5546875" customWidth="1"/>
    <col min="3325" max="3326" width="9" hidden="1" customWidth="1"/>
    <col min="3327" max="3327" width="6.5546875" customWidth="1"/>
    <col min="3328" max="3328" width="7.33203125" customWidth="1"/>
    <col min="3329" max="3330" width="7.5546875" customWidth="1"/>
    <col min="3331" max="3332" width="9" hidden="1" customWidth="1"/>
    <col min="3333" max="3334" width="5.5546875" customWidth="1"/>
    <col min="3335" max="3335" width="7" customWidth="1"/>
    <col min="3336" max="3337" width="9" hidden="1" customWidth="1"/>
    <col min="3338" max="3338" width="8.88671875" customWidth="1"/>
    <col min="3339" max="3339" width="9.109375"/>
    <col min="3340" max="3349" width="9" hidden="1" customWidth="1"/>
    <col min="3350" max="3558" width="9.109375"/>
    <col min="3559" max="3559" width="3.5546875" customWidth="1"/>
    <col min="3560" max="3560" width="27.109375" customWidth="1"/>
    <col min="3561" max="3561" width="8.109375" customWidth="1"/>
    <col min="3562" max="3562" width="5" customWidth="1"/>
    <col min="3563" max="3563" width="6" customWidth="1"/>
    <col min="3564" max="3566" width="6.5546875" customWidth="1"/>
    <col min="3567" max="3568" width="7.5546875" customWidth="1"/>
    <col min="3569" max="3570" width="9" hidden="1" customWidth="1"/>
    <col min="3571" max="3571" width="7.109375" customWidth="1"/>
    <col min="3572" max="3572" width="7.5546875" customWidth="1"/>
    <col min="3573" max="3574" width="9" hidden="1" customWidth="1"/>
    <col min="3575" max="3575" width="0.109375" customWidth="1"/>
    <col min="3576" max="3576" width="9" hidden="1" customWidth="1"/>
    <col min="3577" max="3577" width="7.5546875" customWidth="1"/>
    <col min="3578" max="3578" width="7.6640625" customWidth="1"/>
    <col min="3579" max="3579" width="8.109375" customWidth="1"/>
    <col min="3580" max="3580" width="7.5546875" customWidth="1"/>
    <col min="3581" max="3582" width="9" hidden="1" customWidth="1"/>
    <col min="3583" max="3583" width="6.5546875" customWidth="1"/>
    <col min="3584" max="3584" width="7.33203125" customWidth="1"/>
    <col min="3585" max="3586" width="7.5546875" customWidth="1"/>
    <col min="3587" max="3588" width="9" hidden="1" customWidth="1"/>
    <col min="3589" max="3590" width="5.5546875" customWidth="1"/>
    <col min="3591" max="3591" width="7" customWidth="1"/>
    <col min="3592" max="3593" width="9" hidden="1" customWidth="1"/>
    <col min="3594" max="3594" width="8.88671875" customWidth="1"/>
    <col min="3595" max="3595" width="9.109375"/>
    <col min="3596" max="3605" width="9" hidden="1" customWidth="1"/>
    <col min="3606" max="3814" width="9.109375"/>
    <col min="3815" max="3815" width="3.5546875" customWidth="1"/>
    <col min="3816" max="3816" width="27.109375" customWidth="1"/>
    <col min="3817" max="3817" width="8.109375" customWidth="1"/>
    <col min="3818" max="3818" width="5" customWidth="1"/>
    <col min="3819" max="3819" width="6" customWidth="1"/>
    <col min="3820" max="3822" width="6.5546875" customWidth="1"/>
    <col min="3823" max="3824" width="7.5546875" customWidth="1"/>
    <col min="3825" max="3826" width="9" hidden="1" customWidth="1"/>
    <col min="3827" max="3827" width="7.109375" customWidth="1"/>
    <col min="3828" max="3828" width="7.5546875" customWidth="1"/>
    <col min="3829" max="3830" width="9" hidden="1" customWidth="1"/>
    <col min="3831" max="3831" width="0.109375" customWidth="1"/>
    <col min="3832" max="3832" width="9" hidden="1" customWidth="1"/>
    <col min="3833" max="3833" width="7.5546875" customWidth="1"/>
    <col min="3834" max="3834" width="7.6640625" customWidth="1"/>
    <col min="3835" max="3835" width="8.109375" customWidth="1"/>
    <col min="3836" max="3836" width="7.5546875" customWidth="1"/>
    <col min="3837" max="3838" width="9" hidden="1" customWidth="1"/>
    <col min="3839" max="3839" width="6.5546875" customWidth="1"/>
    <col min="3840" max="3840" width="7.33203125" customWidth="1"/>
    <col min="3841" max="3842" width="7.5546875" customWidth="1"/>
    <col min="3843" max="3844" width="9" hidden="1" customWidth="1"/>
    <col min="3845" max="3846" width="5.5546875" customWidth="1"/>
    <col min="3847" max="3847" width="7" customWidth="1"/>
    <col min="3848" max="3849" width="9" hidden="1" customWidth="1"/>
    <col min="3850" max="3850" width="8.88671875" customWidth="1"/>
    <col min="3851" max="3851" width="9.109375"/>
    <col min="3852" max="3861" width="9" hidden="1" customWidth="1"/>
    <col min="3862" max="4070" width="9.109375"/>
    <col min="4071" max="4071" width="3.5546875" customWidth="1"/>
    <col min="4072" max="4072" width="27.109375" customWidth="1"/>
    <col min="4073" max="4073" width="8.109375" customWidth="1"/>
    <col min="4074" max="4074" width="5" customWidth="1"/>
    <col min="4075" max="4075" width="6" customWidth="1"/>
    <col min="4076" max="4078" width="6.5546875" customWidth="1"/>
    <col min="4079" max="4080" width="7.5546875" customWidth="1"/>
    <col min="4081" max="4082" width="9" hidden="1" customWidth="1"/>
    <col min="4083" max="4083" width="7.109375" customWidth="1"/>
    <col min="4084" max="4084" width="7.5546875" customWidth="1"/>
    <col min="4085" max="4086" width="9" hidden="1" customWidth="1"/>
    <col min="4087" max="4087" width="0.109375" customWidth="1"/>
    <col min="4088" max="4088" width="9" hidden="1" customWidth="1"/>
    <col min="4089" max="4089" width="7.5546875" customWidth="1"/>
    <col min="4090" max="4090" width="7.6640625" customWidth="1"/>
    <col min="4091" max="4091" width="8.109375" customWidth="1"/>
    <col min="4092" max="4092" width="7.5546875" customWidth="1"/>
    <col min="4093" max="4094" width="9" hidden="1" customWidth="1"/>
    <col min="4095" max="4095" width="6.5546875" customWidth="1"/>
    <col min="4096" max="4096" width="7.33203125" customWidth="1"/>
    <col min="4097" max="4098" width="7.5546875" customWidth="1"/>
    <col min="4099" max="4100" width="9" hidden="1" customWidth="1"/>
    <col min="4101" max="4102" width="5.5546875" customWidth="1"/>
    <col min="4103" max="4103" width="7" customWidth="1"/>
    <col min="4104" max="4105" width="9" hidden="1" customWidth="1"/>
    <col min="4106" max="4106" width="8.88671875" customWidth="1"/>
    <col min="4107" max="4107" width="9.109375"/>
    <col min="4108" max="4117" width="9" hidden="1" customWidth="1"/>
    <col min="4118" max="4326" width="9.109375"/>
    <col min="4327" max="4327" width="3.5546875" customWidth="1"/>
    <col min="4328" max="4328" width="27.109375" customWidth="1"/>
    <col min="4329" max="4329" width="8.109375" customWidth="1"/>
    <col min="4330" max="4330" width="5" customWidth="1"/>
    <col min="4331" max="4331" width="6" customWidth="1"/>
    <col min="4332" max="4334" width="6.5546875" customWidth="1"/>
    <col min="4335" max="4336" width="7.5546875" customWidth="1"/>
    <col min="4337" max="4338" width="9" hidden="1" customWidth="1"/>
    <col min="4339" max="4339" width="7.109375" customWidth="1"/>
    <col min="4340" max="4340" width="7.5546875" customWidth="1"/>
    <col min="4341" max="4342" width="9" hidden="1" customWidth="1"/>
    <col min="4343" max="4343" width="0.109375" customWidth="1"/>
    <col min="4344" max="4344" width="9" hidden="1" customWidth="1"/>
    <col min="4345" max="4345" width="7.5546875" customWidth="1"/>
    <col min="4346" max="4346" width="7.6640625" customWidth="1"/>
    <col min="4347" max="4347" width="8.109375" customWidth="1"/>
    <col min="4348" max="4348" width="7.5546875" customWidth="1"/>
    <col min="4349" max="4350" width="9" hidden="1" customWidth="1"/>
    <col min="4351" max="4351" width="6.5546875" customWidth="1"/>
    <col min="4352" max="4352" width="7.33203125" customWidth="1"/>
    <col min="4353" max="4354" width="7.5546875" customWidth="1"/>
    <col min="4355" max="4356" width="9" hidden="1" customWidth="1"/>
    <col min="4357" max="4358" width="5.5546875" customWidth="1"/>
    <col min="4359" max="4359" width="7" customWidth="1"/>
    <col min="4360" max="4361" width="9" hidden="1" customWidth="1"/>
    <col min="4362" max="4362" width="8.88671875" customWidth="1"/>
    <col min="4363" max="4363" width="9.109375"/>
    <col min="4364" max="4373" width="9" hidden="1" customWidth="1"/>
    <col min="4374" max="4582" width="9.109375"/>
    <col min="4583" max="4583" width="3.5546875" customWidth="1"/>
    <col min="4584" max="4584" width="27.109375" customWidth="1"/>
    <col min="4585" max="4585" width="8.109375" customWidth="1"/>
    <col min="4586" max="4586" width="5" customWidth="1"/>
    <col min="4587" max="4587" width="6" customWidth="1"/>
    <col min="4588" max="4590" width="6.5546875" customWidth="1"/>
    <col min="4591" max="4592" width="7.5546875" customWidth="1"/>
    <col min="4593" max="4594" width="9" hidden="1" customWidth="1"/>
    <col min="4595" max="4595" width="7.109375" customWidth="1"/>
    <col min="4596" max="4596" width="7.5546875" customWidth="1"/>
    <col min="4597" max="4598" width="9" hidden="1" customWidth="1"/>
    <col min="4599" max="4599" width="0.109375" customWidth="1"/>
    <col min="4600" max="4600" width="9" hidden="1" customWidth="1"/>
    <col min="4601" max="4601" width="7.5546875" customWidth="1"/>
    <col min="4602" max="4602" width="7.6640625" customWidth="1"/>
    <col min="4603" max="4603" width="8.109375" customWidth="1"/>
    <col min="4604" max="4604" width="7.5546875" customWidth="1"/>
    <col min="4605" max="4606" width="9" hidden="1" customWidth="1"/>
    <col min="4607" max="4607" width="6.5546875" customWidth="1"/>
    <col min="4608" max="4608" width="7.33203125" customWidth="1"/>
    <col min="4609" max="4610" width="7.5546875" customWidth="1"/>
    <col min="4611" max="4612" width="9" hidden="1" customWidth="1"/>
    <col min="4613" max="4614" width="5.5546875" customWidth="1"/>
    <col min="4615" max="4615" width="7" customWidth="1"/>
    <col min="4616" max="4617" width="9" hidden="1" customWidth="1"/>
    <col min="4618" max="4618" width="8.88671875" customWidth="1"/>
    <col min="4619" max="4619" width="9.109375"/>
    <col min="4620" max="4629" width="9" hidden="1" customWidth="1"/>
    <col min="4630" max="4838" width="9.109375"/>
    <col min="4839" max="4839" width="3.5546875" customWidth="1"/>
    <col min="4840" max="4840" width="27.109375" customWidth="1"/>
    <col min="4841" max="4841" width="8.109375" customWidth="1"/>
    <col min="4842" max="4842" width="5" customWidth="1"/>
    <col min="4843" max="4843" width="6" customWidth="1"/>
    <col min="4844" max="4846" width="6.5546875" customWidth="1"/>
    <col min="4847" max="4848" width="7.5546875" customWidth="1"/>
    <col min="4849" max="4850" width="9" hidden="1" customWidth="1"/>
    <col min="4851" max="4851" width="7.109375" customWidth="1"/>
    <col min="4852" max="4852" width="7.5546875" customWidth="1"/>
    <col min="4853" max="4854" width="9" hidden="1" customWidth="1"/>
    <col min="4855" max="4855" width="0.109375" customWidth="1"/>
    <col min="4856" max="4856" width="9" hidden="1" customWidth="1"/>
    <col min="4857" max="4857" width="7.5546875" customWidth="1"/>
    <col min="4858" max="4858" width="7.6640625" customWidth="1"/>
    <col min="4859" max="4859" width="8.109375" customWidth="1"/>
    <col min="4860" max="4860" width="7.5546875" customWidth="1"/>
    <col min="4861" max="4862" width="9" hidden="1" customWidth="1"/>
    <col min="4863" max="4863" width="6.5546875" customWidth="1"/>
    <col min="4864" max="4864" width="7.33203125" customWidth="1"/>
    <col min="4865" max="4866" width="7.5546875" customWidth="1"/>
    <col min="4867" max="4868" width="9" hidden="1" customWidth="1"/>
    <col min="4869" max="4870" width="5.5546875" customWidth="1"/>
    <col min="4871" max="4871" width="7" customWidth="1"/>
    <col min="4872" max="4873" width="9" hidden="1" customWidth="1"/>
    <col min="4874" max="4874" width="8.88671875" customWidth="1"/>
    <col min="4875" max="4875" width="9.109375"/>
    <col min="4876" max="4885" width="9" hidden="1" customWidth="1"/>
    <col min="4886" max="5094" width="9.109375"/>
    <col min="5095" max="5095" width="3.5546875" customWidth="1"/>
    <col min="5096" max="5096" width="27.109375" customWidth="1"/>
    <col min="5097" max="5097" width="8.109375" customWidth="1"/>
    <col min="5098" max="5098" width="5" customWidth="1"/>
    <col min="5099" max="5099" width="6" customWidth="1"/>
    <col min="5100" max="5102" width="6.5546875" customWidth="1"/>
    <col min="5103" max="5104" width="7.5546875" customWidth="1"/>
    <col min="5105" max="5106" width="9" hidden="1" customWidth="1"/>
    <col min="5107" max="5107" width="7.109375" customWidth="1"/>
    <col min="5108" max="5108" width="7.5546875" customWidth="1"/>
    <col min="5109" max="5110" width="9" hidden="1" customWidth="1"/>
    <col min="5111" max="5111" width="0.109375" customWidth="1"/>
    <col min="5112" max="5112" width="9" hidden="1" customWidth="1"/>
    <col min="5113" max="5113" width="7.5546875" customWidth="1"/>
    <col min="5114" max="5114" width="7.6640625" customWidth="1"/>
    <col min="5115" max="5115" width="8.109375" customWidth="1"/>
    <col min="5116" max="5116" width="7.5546875" customWidth="1"/>
    <col min="5117" max="5118" width="9" hidden="1" customWidth="1"/>
    <col min="5119" max="5119" width="6.5546875" customWidth="1"/>
    <col min="5120" max="5120" width="7.33203125" customWidth="1"/>
    <col min="5121" max="5122" width="7.5546875" customWidth="1"/>
    <col min="5123" max="5124" width="9" hidden="1" customWidth="1"/>
    <col min="5125" max="5126" width="5.5546875" customWidth="1"/>
    <col min="5127" max="5127" width="7" customWidth="1"/>
    <col min="5128" max="5129" width="9" hidden="1" customWidth="1"/>
    <col min="5130" max="5130" width="8.88671875" customWidth="1"/>
    <col min="5131" max="5131" width="9.109375"/>
    <col min="5132" max="5141" width="9" hidden="1" customWidth="1"/>
    <col min="5142" max="5350" width="9.109375"/>
    <col min="5351" max="5351" width="3.5546875" customWidth="1"/>
    <col min="5352" max="5352" width="27.109375" customWidth="1"/>
    <col min="5353" max="5353" width="8.109375" customWidth="1"/>
    <col min="5354" max="5354" width="5" customWidth="1"/>
    <col min="5355" max="5355" width="6" customWidth="1"/>
    <col min="5356" max="5358" width="6.5546875" customWidth="1"/>
    <col min="5359" max="5360" width="7.5546875" customWidth="1"/>
    <col min="5361" max="5362" width="9" hidden="1" customWidth="1"/>
    <col min="5363" max="5363" width="7.109375" customWidth="1"/>
    <col min="5364" max="5364" width="7.5546875" customWidth="1"/>
    <col min="5365" max="5366" width="9" hidden="1" customWidth="1"/>
    <col min="5367" max="5367" width="0.109375" customWidth="1"/>
    <col min="5368" max="5368" width="9" hidden="1" customWidth="1"/>
    <col min="5369" max="5369" width="7.5546875" customWidth="1"/>
    <col min="5370" max="5370" width="7.6640625" customWidth="1"/>
    <col min="5371" max="5371" width="8.109375" customWidth="1"/>
    <col min="5372" max="5372" width="7.5546875" customWidth="1"/>
    <col min="5373" max="5374" width="9" hidden="1" customWidth="1"/>
    <col min="5375" max="5375" width="6.5546875" customWidth="1"/>
    <col min="5376" max="5376" width="7.33203125" customWidth="1"/>
    <col min="5377" max="5378" width="7.5546875" customWidth="1"/>
    <col min="5379" max="5380" width="9" hidden="1" customWidth="1"/>
    <col min="5381" max="5382" width="5.5546875" customWidth="1"/>
    <col min="5383" max="5383" width="7" customWidth="1"/>
    <col min="5384" max="5385" width="9" hidden="1" customWidth="1"/>
    <col min="5386" max="5386" width="8.88671875" customWidth="1"/>
    <col min="5387" max="5387" width="9.109375"/>
    <col min="5388" max="5397" width="9" hidden="1" customWidth="1"/>
    <col min="5398" max="5606" width="9.109375"/>
    <col min="5607" max="5607" width="3.5546875" customWidth="1"/>
    <col min="5608" max="5608" width="27.109375" customWidth="1"/>
    <col min="5609" max="5609" width="8.109375" customWidth="1"/>
    <col min="5610" max="5610" width="5" customWidth="1"/>
    <col min="5611" max="5611" width="6" customWidth="1"/>
    <col min="5612" max="5614" width="6.5546875" customWidth="1"/>
    <col min="5615" max="5616" width="7.5546875" customWidth="1"/>
    <col min="5617" max="5618" width="9" hidden="1" customWidth="1"/>
    <col min="5619" max="5619" width="7.109375" customWidth="1"/>
    <col min="5620" max="5620" width="7.5546875" customWidth="1"/>
    <col min="5621" max="5622" width="9" hidden="1" customWidth="1"/>
    <col min="5623" max="5623" width="0.109375" customWidth="1"/>
    <col min="5624" max="5624" width="9" hidden="1" customWidth="1"/>
    <col min="5625" max="5625" width="7.5546875" customWidth="1"/>
    <col min="5626" max="5626" width="7.6640625" customWidth="1"/>
    <col min="5627" max="5627" width="8.109375" customWidth="1"/>
    <col min="5628" max="5628" width="7.5546875" customWidth="1"/>
    <col min="5629" max="5630" width="9" hidden="1" customWidth="1"/>
    <col min="5631" max="5631" width="6.5546875" customWidth="1"/>
    <col min="5632" max="5632" width="7.33203125" customWidth="1"/>
    <col min="5633" max="5634" width="7.5546875" customWidth="1"/>
    <col min="5635" max="5636" width="9" hidden="1" customWidth="1"/>
    <col min="5637" max="5638" width="5.5546875" customWidth="1"/>
    <col min="5639" max="5639" width="7" customWidth="1"/>
    <col min="5640" max="5641" width="9" hidden="1" customWidth="1"/>
    <col min="5642" max="5642" width="8.88671875" customWidth="1"/>
    <col min="5643" max="5643" width="9.109375"/>
    <col min="5644" max="5653" width="9" hidden="1" customWidth="1"/>
    <col min="5654" max="5862" width="9.109375"/>
    <col min="5863" max="5863" width="3.5546875" customWidth="1"/>
    <col min="5864" max="5864" width="27.109375" customWidth="1"/>
    <col min="5865" max="5865" width="8.109375" customWidth="1"/>
    <col min="5866" max="5866" width="5" customWidth="1"/>
    <col min="5867" max="5867" width="6" customWidth="1"/>
    <col min="5868" max="5870" width="6.5546875" customWidth="1"/>
    <col min="5871" max="5872" width="7.5546875" customWidth="1"/>
    <col min="5873" max="5874" width="9" hidden="1" customWidth="1"/>
    <col min="5875" max="5875" width="7.109375" customWidth="1"/>
    <col min="5876" max="5876" width="7.5546875" customWidth="1"/>
    <col min="5877" max="5878" width="9" hidden="1" customWidth="1"/>
    <col min="5879" max="5879" width="0.109375" customWidth="1"/>
    <col min="5880" max="5880" width="9" hidden="1" customWidth="1"/>
    <col min="5881" max="5881" width="7.5546875" customWidth="1"/>
    <col min="5882" max="5882" width="7.6640625" customWidth="1"/>
    <col min="5883" max="5883" width="8.109375" customWidth="1"/>
    <col min="5884" max="5884" width="7.5546875" customWidth="1"/>
    <col min="5885" max="5886" width="9" hidden="1" customWidth="1"/>
    <col min="5887" max="5887" width="6.5546875" customWidth="1"/>
    <col min="5888" max="5888" width="7.33203125" customWidth="1"/>
    <col min="5889" max="5890" width="7.5546875" customWidth="1"/>
    <col min="5891" max="5892" width="9" hidden="1" customWidth="1"/>
    <col min="5893" max="5894" width="5.5546875" customWidth="1"/>
    <col min="5895" max="5895" width="7" customWidth="1"/>
    <col min="5896" max="5897" width="9" hidden="1" customWidth="1"/>
    <col min="5898" max="5898" width="8.88671875" customWidth="1"/>
    <col min="5899" max="5899" width="9.109375"/>
    <col min="5900" max="5909" width="9" hidden="1" customWidth="1"/>
    <col min="5910" max="6118" width="9.109375"/>
    <col min="6119" max="6119" width="3.5546875" customWidth="1"/>
    <col min="6120" max="6120" width="27.109375" customWidth="1"/>
    <col min="6121" max="6121" width="8.109375" customWidth="1"/>
    <col min="6122" max="6122" width="5" customWidth="1"/>
    <col min="6123" max="6123" width="6" customWidth="1"/>
    <col min="6124" max="6126" width="6.5546875" customWidth="1"/>
    <col min="6127" max="6128" width="7.5546875" customWidth="1"/>
    <col min="6129" max="6130" width="9" hidden="1" customWidth="1"/>
    <col min="6131" max="6131" width="7.109375" customWidth="1"/>
    <col min="6132" max="6132" width="7.5546875" customWidth="1"/>
    <col min="6133" max="6134" width="9" hidden="1" customWidth="1"/>
    <col min="6135" max="6135" width="0.109375" customWidth="1"/>
    <col min="6136" max="6136" width="9" hidden="1" customWidth="1"/>
    <col min="6137" max="6137" width="7.5546875" customWidth="1"/>
    <col min="6138" max="6138" width="7.6640625" customWidth="1"/>
    <col min="6139" max="6139" width="8.109375" customWidth="1"/>
    <col min="6140" max="6140" width="7.5546875" customWidth="1"/>
    <col min="6141" max="6142" width="9" hidden="1" customWidth="1"/>
    <col min="6143" max="6143" width="6.5546875" customWidth="1"/>
    <col min="6144" max="6144" width="7.33203125" customWidth="1"/>
    <col min="6145" max="6146" width="7.5546875" customWidth="1"/>
    <col min="6147" max="6148" width="9" hidden="1" customWidth="1"/>
    <col min="6149" max="6150" width="5.5546875" customWidth="1"/>
    <col min="6151" max="6151" width="7" customWidth="1"/>
    <col min="6152" max="6153" width="9" hidden="1" customWidth="1"/>
    <col min="6154" max="6154" width="8.88671875" customWidth="1"/>
    <col min="6155" max="6155" width="9.109375"/>
    <col min="6156" max="6165" width="9" hidden="1" customWidth="1"/>
    <col min="6166" max="6374" width="9.109375"/>
    <col min="6375" max="6375" width="3.5546875" customWidth="1"/>
    <col min="6376" max="6376" width="27.109375" customWidth="1"/>
    <col min="6377" max="6377" width="8.109375" customWidth="1"/>
    <col min="6378" max="6378" width="5" customWidth="1"/>
    <col min="6379" max="6379" width="6" customWidth="1"/>
    <col min="6380" max="6382" width="6.5546875" customWidth="1"/>
    <col min="6383" max="6384" width="7.5546875" customWidth="1"/>
    <col min="6385" max="6386" width="9" hidden="1" customWidth="1"/>
    <col min="6387" max="6387" width="7.109375" customWidth="1"/>
    <col min="6388" max="6388" width="7.5546875" customWidth="1"/>
    <col min="6389" max="6390" width="9" hidden="1" customWidth="1"/>
    <col min="6391" max="6391" width="0.109375" customWidth="1"/>
    <col min="6392" max="6392" width="9" hidden="1" customWidth="1"/>
    <col min="6393" max="6393" width="7.5546875" customWidth="1"/>
    <col min="6394" max="6394" width="7.6640625" customWidth="1"/>
    <col min="6395" max="6395" width="8.109375" customWidth="1"/>
    <col min="6396" max="6396" width="7.5546875" customWidth="1"/>
    <col min="6397" max="6398" width="9" hidden="1" customWidth="1"/>
    <col min="6399" max="6399" width="6.5546875" customWidth="1"/>
    <col min="6400" max="6400" width="7.33203125" customWidth="1"/>
    <col min="6401" max="6402" width="7.5546875" customWidth="1"/>
    <col min="6403" max="6404" width="9" hidden="1" customWidth="1"/>
    <col min="6405" max="6406" width="5.5546875" customWidth="1"/>
    <col min="6407" max="6407" width="7" customWidth="1"/>
    <col min="6408" max="6409" width="9" hidden="1" customWidth="1"/>
    <col min="6410" max="6410" width="8.88671875" customWidth="1"/>
    <col min="6411" max="6411" width="9.109375"/>
    <col min="6412" max="6421" width="9" hidden="1" customWidth="1"/>
    <col min="6422" max="6630" width="9.109375"/>
    <col min="6631" max="6631" width="3.5546875" customWidth="1"/>
    <col min="6632" max="6632" width="27.109375" customWidth="1"/>
    <col min="6633" max="6633" width="8.109375" customWidth="1"/>
    <col min="6634" max="6634" width="5" customWidth="1"/>
    <col min="6635" max="6635" width="6" customWidth="1"/>
    <col min="6636" max="6638" width="6.5546875" customWidth="1"/>
    <col min="6639" max="6640" width="7.5546875" customWidth="1"/>
    <col min="6641" max="6642" width="9" hidden="1" customWidth="1"/>
    <col min="6643" max="6643" width="7.109375" customWidth="1"/>
    <col min="6644" max="6644" width="7.5546875" customWidth="1"/>
    <col min="6645" max="6646" width="9" hidden="1" customWidth="1"/>
    <col min="6647" max="6647" width="0.109375" customWidth="1"/>
    <col min="6648" max="6648" width="9" hidden="1" customWidth="1"/>
    <col min="6649" max="6649" width="7.5546875" customWidth="1"/>
    <col min="6650" max="6650" width="7.6640625" customWidth="1"/>
    <col min="6651" max="6651" width="8.109375" customWidth="1"/>
    <col min="6652" max="6652" width="7.5546875" customWidth="1"/>
    <col min="6653" max="6654" width="9" hidden="1" customWidth="1"/>
    <col min="6655" max="6655" width="6.5546875" customWidth="1"/>
    <col min="6656" max="6656" width="7.33203125" customWidth="1"/>
    <col min="6657" max="6658" width="7.5546875" customWidth="1"/>
    <col min="6659" max="6660" width="9" hidden="1" customWidth="1"/>
    <col min="6661" max="6662" width="5.5546875" customWidth="1"/>
    <col min="6663" max="6663" width="7" customWidth="1"/>
    <col min="6664" max="6665" width="9" hidden="1" customWidth="1"/>
    <col min="6666" max="6666" width="8.88671875" customWidth="1"/>
    <col min="6667" max="6667" width="9.109375"/>
    <col min="6668" max="6677" width="9" hidden="1" customWidth="1"/>
    <col min="6678" max="6886" width="9.109375"/>
    <col min="6887" max="6887" width="3.5546875" customWidth="1"/>
    <col min="6888" max="6888" width="27.109375" customWidth="1"/>
    <col min="6889" max="6889" width="8.109375" customWidth="1"/>
    <col min="6890" max="6890" width="5" customWidth="1"/>
    <col min="6891" max="6891" width="6" customWidth="1"/>
    <col min="6892" max="6894" width="6.5546875" customWidth="1"/>
    <col min="6895" max="6896" width="7.5546875" customWidth="1"/>
    <col min="6897" max="6898" width="9" hidden="1" customWidth="1"/>
    <col min="6899" max="6899" width="7.109375" customWidth="1"/>
    <col min="6900" max="6900" width="7.5546875" customWidth="1"/>
    <col min="6901" max="6902" width="9" hidden="1" customWidth="1"/>
    <col min="6903" max="6903" width="0.109375" customWidth="1"/>
    <col min="6904" max="6904" width="9" hidden="1" customWidth="1"/>
    <col min="6905" max="6905" width="7.5546875" customWidth="1"/>
    <col min="6906" max="6906" width="7.6640625" customWidth="1"/>
    <col min="6907" max="6907" width="8.109375" customWidth="1"/>
    <col min="6908" max="6908" width="7.5546875" customWidth="1"/>
    <col min="6909" max="6910" width="9" hidden="1" customWidth="1"/>
    <col min="6911" max="6911" width="6.5546875" customWidth="1"/>
    <col min="6912" max="6912" width="7.33203125" customWidth="1"/>
    <col min="6913" max="6914" width="7.5546875" customWidth="1"/>
    <col min="6915" max="6916" width="9" hidden="1" customWidth="1"/>
    <col min="6917" max="6918" width="5.5546875" customWidth="1"/>
    <col min="6919" max="6919" width="7" customWidth="1"/>
    <col min="6920" max="6921" width="9" hidden="1" customWidth="1"/>
    <col min="6922" max="6922" width="8.88671875" customWidth="1"/>
    <col min="6923" max="6923" width="9.109375"/>
    <col min="6924" max="6933" width="9" hidden="1" customWidth="1"/>
    <col min="6934" max="7142" width="9.109375"/>
    <col min="7143" max="7143" width="3.5546875" customWidth="1"/>
    <col min="7144" max="7144" width="27.109375" customWidth="1"/>
    <col min="7145" max="7145" width="8.109375" customWidth="1"/>
    <col min="7146" max="7146" width="5" customWidth="1"/>
    <col min="7147" max="7147" width="6" customWidth="1"/>
    <col min="7148" max="7150" width="6.5546875" customWidth="1"/>
    <col min="7151" max="7152" width="7.5546875" customWidth="1"/>
    <col min="7153" max="7154" width="9" hidden="1" customWidth="1"/>
    <col min="7155" max="7155" width="7.109375" customWidth="1"/>
    <col min="7156" max="7156" width="7.5546875" customWidth="1"/>
    <col min="7157" max="7158" width="9" hidden="1" customWidth="1"/>
    <col min="7159" max="7159" width="0.109375" customWidth="1"/>
    <col min="7160" max="7160" width="9" hidden="1" customWidth="1"/>
    <col min="7161" max="7161" width="7.5546875" customWidth="1"/>
    <col min="7162" max="7162" width="7.6640625" customWidth="1"/>
    <col min="7163" max="7163" width="8.109375" customWidth="1"/>
    <col min="7164" max="7164" width="7.5546875" customWidth="1"/>
    <col min="7165" max="7166" width="9" hidden="1" customWidth="1"/>
    <col min="7167" max="7167" width="6.5546875" customWidth="1"/>
    <col min="7168" max="7168" width="7.33203125" customWidth="1"/>
    <col min="7169" max="7170" width="7.5546875" customWidth="1"/>
    <col min="7171" max="7172" width="9" hidden="1" customWidth="1"/>
    <col min="7173" max="7174" width="5.5546875" customWidth="1"/>
    <col min="7175" max="7175" width="7" customWidth="1"/>
    <col min="7176" max="7177" width="9" hidden="1" customWidth="1"/>
    <col min="7178" max="7178" width="8.88671875" customWidth="1"/>
    <col min="7179" max="7179" width="9.109375"/>
    <col min="7180" max="7189" width="9" hidden="1" customWidth="1"/>
    <col min="7190" max="7398" width="9.109375"/>
    <col min="7399" max="7399" width="3.5546875" customWidth="1"/>
    <col min="7400" max="7400" width="27.109375" customWidth="1"/>
    <col min="7401" max="7401" width="8.109375" customWidth="1"/>
    <col min="7402" max="7402" width="5" customWidth="1"/>
    <col min="7403" max="7403" width="6" customWidth="1"/>
    <col min="7404" max="7406" width="6.5546875" customWidth="1"/>
    <col min="7407" max="7408" width="7.5546875" customWidth="1"/>
    <col min="7409" max="7410" width="9" hidden="1" customWidth="1"/>
    <col min="7411" max="7411" width="7.109375" customWidth="1"/>
    <col min="7412" max="7412" width="7.5546875" customWidth="1"/>
    <col min="7413" max="7414" width="9" hidden="1" customWidth="1"/>
    <col min="7415" max="7415" width="0.109375" customWidth="1"/>
    <col min="7416" max="7416" width="9" hidden="1" customWidth="1"/>
    <col min="7417" max="7417" width="7.5546875" customWidth="1"/>
    <col min="7418" max="7418" width="7.6640625" customWidth="1"/>
    <col min="7419" max="7419" width="8.109375" customWidth="1"/>
    <col min="7420" max="7420" width="7.5546875" customWidth="1"/>
    <col min="7421" max="7422" width="9" hidden="1" customWidth="1"/>
    <col min="7423" max="7423" width="6.5546875" customWidth="1"/>
    <col min="7424" max="7424" width="7.33203125" customWidth="1"/>
    <col min="7425" max="7426" width="7.5546875" customWidth="1"/>
    <col min="7427" max="7428" width="9" hidden="1" customWidth="1"/>
    <col min="7429" max="7430" width="5.5546875" customWidth="1"/>
    <col min="7431" max="7431" width="7" customWidth="1"/>
    <col min="7432" max="7433" width="9" hidden="1" customWidth="1"/>
    <col min="7434" max="7434" width="8.88671875" customWidth="1"/>
    <col min="7435" max="7435" width="9.109375"/>
    <col min="7436" max="7445" width="9" hidden="1" customWidth="1"/>
    <col min="7446" max="7654" width="9.109375"/>
    <col min="7655" max="7655" width="3.5546875" customWidth="1"/>
    <col min="7656" max="7656" width="27.109375" customWidth="1"/>
    <col min="7657" max="7657" width="8.109375" customWidth="1"/>
    <col min="7658" max="7658" width="5" customWidth="1"/>
    <col min="7659" max="7659" width="6" customWidth="1"/>
    <col min="7660" max="7662" width="6.5546875" customWidth="1"/>
    <col min="7663" max="7664" width="7.5546875" customWidth="1"/>
    <col min="7665" max="7666" width="9" hidden="1" customWidth="1"/>
    <col min="7667" max="7667" width="7.109375" customWidth="1"/>
    <col min="7668" max="7668" width="7.5546875" customWidth="1"/>
    <col min="7669" max="7670" width="9" hidden="1" customWidth="1"/>
    <col min="7671" max="7671" width="0.109375" customWidth="1"/>
    <col min="7672" max="7672" width="9" hidden="1" customWidth="1"/>
    <col min="7673" max="7673" width="7.5546875" customWidth="1"/>
    <col min="7674" max="7674" width="7.6640625" customWidth="1"/>
    <col min="7675" max="7675" width="8.109375" customWidth="1"/>
    <col min="7676" max="7676" width="7.5546875" customWidth="1"/>
    <col min="7677" max="7678" width="9" hidden="1" customWidth="1"/>
    <col min="7679" max="7679" width="6.5546875" customWidth="1"/>
    <col min="7680" max="7680" width="7.33203125" customWidth="1"/>
    <col min="7681" max="7682" width="7.5546875" customWidth="1"/>
    <col min="7683" max="7684" width="9" hidden="1" customWidth="1"/>
    <col min="7685" max="7686" width="5.5546875" customWidth="1"/>
    <col min="7687" max="7687" width="7" customWidth="1"/>
    <col min="7688" max="7689" width="9" hidden="1" customWidth="1"/>
    <col min="7690" max="7690" width="8.88671875" customWidth="1"/>
    <col min="7691" max="7691" width="9.109375"/>
    <col min="7692" max="7701" width="9" hidden="1" customWidth="1"/>
    <col min="7702" max="7910" width="9.109375"/>
    <col min="7911" max="7911" width="3.5546875" customWidth="1"/>
    <col min="7912" max="7912" width="27.109375" customWidth="1"/>
    <col min="7913" max="7913" width="8.109375" customWidth="1"/>
    <col min="7914" max="7914" width="5" customWidth="1"/>
    <col min="7915" max="7915" width="6" customWidth="1"/>
    <col min="7916" max="7918" width="6.5546875" customWidth="1"/>
    <col min="7919" max="7920" width="7.5546875" customWidth="1"/>
    <col min="7921" max="7922" width="9" hidden="1" customWidth="1"/>
    <col min="7923" max="7923" width="7.109375" customWidth="1"/>
    <col min="7924" max="7924" width="7.5546875" customWidth="1"/>
    <col min="7925" max="7926" width="9" hidden="1" customWidth="1"/>
    <col min="7927" max="7927" width="0.109375" customWidth="1"/>
    <col min="7928" max="7928" width="9" hidden="1" customWidth="1"/>
    <col min="7929" max="7929" width="7.5546875" customWidth="1"/>
    <col min="7930" max="7930" width="7.6640625" customWidth="1"/>
    <col min="7931" max="7931" width="8.109375" customWidth="1"/>
    <col min="7932" max="7932" width="7.5546875" customWidth="1"/>
    <col min="7933" max="7934" width="9" hidden="1" customWidth="1"/>
    <col min="7935" max="7935" width="6.5546875" customWidth="1"/>
    <col min="7936" max="7936" width="7.33203125" customWidth="1"/>
    <col min="7937" max="7938" width="7.5546875" customWidth="1"/>
    <col min="7939" max="7940" width="9" hidden="1" customWidth="1"/>
    <col min="7941" max="7942" width="5.5546875" customWidth="1"/>
    <col min="7943" max="7943" width="7" customWidth="1"/>
    <col min="7944" max="7945" width="9" hidden="1" customWidth="1"/>
    <col min="7946" max="7946" width="8.88671875" customWidth="1"/>
    <col min="7947" max="7947" width="9.109375"/>
    <col min="7948" max="7957" width="9" hidden="1" customWidth="1"/>
    <col min="7958" max="8166" width="9.109375"/>
    <col min="8167" max="8167" width="3.5546875" customWidth="1"/>
    <col min="8168" max="8168" width="27.109375" customWidth="1"/>
    <col min="8169" max="8169" width="8.109375" customWidth="1"/>
    <col min="8170" max="8170" width="5" customWidth="1"/>
    <col min="8171" max="8171" width="6" customWidth="1"/>
    <col min="8172" max="8174" width="6.5546875" customWidth="1"/>
    <col min="8175" max="8176" width="7.5546875" customWidth="1"/>
    <col min="8177" max="8178" width="9" hidden="1" customWidth="1"/>
    <col min="8179" max="8179" width="7.109375" customWidth="1"/>
    <col min="8180" max="8180" width="7.5546875" customWidth="1"/>
    <col min="8181" max="8182" width="9" hidden="1" customWidth="1"/>
    <col min="8183" max="8183" width="0.109375" customWidth="1"/>
    <col min="8184" max="8184" width="9" hidden="1" customWidth="1"/>
    <col min="8185" max="8185" width="7.5546875" customWidth="1"/>
    <col min="8186" max="8186" width="7.6640625" customWidth="1"/>
    <col min="8187" max="8187" width="8.109375" customWidth="1"/>
    <col min="8188" max="8188" width="7.5546875" customWidth="1"/>
    <col min="8189" max="8190" width="9" hidden="1" customWidth="1"/>
    <col min="8191" max="8191" width="6.5546875" customWidth="1"/>
    <col min="8192" max="8192" width="7.33203125" customWidth="1"/>
    <col min="8193" max="8194" width="7.5546875" customWidth="1"/>
    <col min="8195" max="8196" width="9" hidden="1" customWidth="1"/>
    <col min="8197" max="8198" width="5.5546875" customWidth="1"/>
    <col min="8199" max="8199" width="7" customWidth="1"/>
    <col min="8200" max="8201" width="9" hidden="1" customWidth="1"/>
    <col min="8202" max="8202" width="8.88671875" customWidth="1"/>
    <col min="8203" max="8203" width="9.109375"/>
    <col min="8204" max="8213" width="9" hidden="1" customWidth="1"/>
    <col min="8214" max="8422" width="9.109375"/>
    <col min="8423" max="8423" width="3.5546875" customWidth="1"/>
    <col min="8424" max="8424" width="27.109375" customWidth="1"/>
    <col min="8425" max="8425" width="8.109375" customWidth="1"/>
    <col min="8426" max="8426" width="5" customWidth="1"/>
    <col min="8427" max="8427" width="6" customWidth="1"/>
    <col min="8428" max="8430" width="6.5546875" customWidth="1"/>
    <col min="8431" max="8432" width="7.5546875" customWidth="1"/>
    <col min="8433" max="8434" width="9" hidden="1" customWidth="1"/>
    <col min="8435" max="8435" width="7.109375" customWidth="1"/>
    <col min="8436" max="8436" width="7.5546875" customWidth="1"/>
    <col min="8437" max="8438" width="9" hidden="1" customWidth="1"/>
    <col min="8439" max="8439" width="0.109375" customWidth="1"/>
    <col min="8440" max="8440" width="9" hidden="1" customWidth="1"/>
    <col min="8441" max="8441" width="7.5546875" customWidth="1"/>
    <col min="8442" max="8442" width="7.6640625" customWidth="1"/>
    <col min="8443" max="8443" width="8.109375" customWidth="1"/>
    <col min="8444" max="8444" width="7.5546875" customWidth="1"/>
    <col min="8445" max="8446" width="9" hidden="1" customWidth="1"/>
    <col min="8447" max="8447" width="6.5546875" customWidth="1"/>
    <col min="8448" max="8448" width="7.33203125" customWidth="1"/>
    <col min="8449" max="8450" width="7.5546875" customWidth="1"/>
    <col min="8451" max="8452" width="9" hidden="1" customWidth="1"/>
    <col min="8453" max="8454" width="5.5546875" customWidth="1"/>
    <col min="8455" max="8455" width="7" customWidth="1"/>
    <col min="8456" max="8457" width="9" hidden="1" customWidth="1"/>
    <col min="8458" max="8458" width="8.88671875" customWidth="1"/>
    <col min="8459" max="8459" width="9.109375"/>
    <col min="8460" max="8469" width="9" hidden="1" customWidth="1"/>
    <col min="8470" max="8678" width="9.109375"/>
    <col min="8679" max="8679" width="3.5546875" customWidth="1"/>
    <col min="8680" max="8680" width="27.109375" customWidth="1"/>
    <col min="8681" max="8681" width="8.109375" customWidth="1"/>
    <col min="8682" max="8682" width="5" customWidth="1"/>
    <col min="8683" max="8683" width="6" customWidth="1"/>
    <col min="8684" max="8686" width="6.5546875" customWidth="1"/>
    <col min="8687" max="8688" width="7.5546875" customWidth="1"/>
    <col min="8689" max="8690" width="9" hidden="1" customWidth="1"/>
    <col min="8691" max="8691" width="7.109375" customWidth="1"/>
    <col min="8692" max="8692" width="7.5546875" customWidth="1"/>
    <col min="8693" max="8694" width="9" hidden="1" customWidth="1"/>
    <col min="8695" max="8695" width="0.109375" customWidth="1"/>
    <col min="8696" max="8696" width="9" hidden="1" customWidth="1"/>
    <col min="8697" max="8697" width="7.5546875" customWidth="1"/>
    <col min="8698" max="8698" width="7.6640625" customWidth="1"/>
    <col min="8699" max="8699" width="8.109375" customWidth="1"/>
    <col min="8700" max="8700" width="7.5546875" customWidth="1"/>
    <col min="8701" max="8702" width="9" hidden="1" customWidth="1"/>
    <col min="8703" max="8703" width="6.5546875" customWidth="1"/>
    <col min="8704" max="8704" width="7.33203125" customWidth="1"/>
    <col min="8705" max="8706" width="7.5546875" customWidth="1"/>
    <col min="8707" max="8708" width="9" hidden="1" customWidth="1"/>
    <col min="8709" max="8710" width="5.5546875" customWidth="1"/>
    <col min="8711" max="8711" width="7" customWidth="1"/>
    <col min="8712" max="8713" width="9" hidden="1" customWidth="1"/>
    <col min="8714" max="8714" width="8.88671875" customWidth="1"/>
    <col min="8715" max="8715" width="9.109375"/>
    <col min="8716" max="8725" width="9" hidden="1" customWidth="1"/>
    <col min="8726" max="8934" width="9.109375"/>
    <col min="8935" max="8935" width="3.5546875" customWidth="1"/>
    <col min="8936" max="8936" width="27.109375" customWidth="1"/>
    <col min="8937" max="8937" width="8.109375" customWidth="1"/>
    <col min="8938" max="8938" width="5" customWidth="1"/>
    <col min="8939" max="8939" width="6" customWidth="1"/>
    <col min="8940" max="8942" width="6.5546875" customWidth="1"/>
    <col min="8943" max="8944" width="7.5546875" customWidth="1"/>
    <col min="8945" max="8946" width="9" hidden="1" customWidth="1"/>
    <col min="8947" max="8947" width="7.109375" customWidth="1"/>
    <col min="8948" max="8948" width="7.5546875" customWidth="1"/>
    <col min="8949" max="8950" width="9" hidden="1" customWidth="1"/>
    <col min="8951" max="8951" width="0.109375" customWidth="1"/>
    <col min="8952" max="8952" width="9" hidden="1" customWidth="1"/>
    <col min="8953" max="8953" width="7.5546875" customWidth="1"/>
    <col min="8954" max="8954" width="7.6640625" customWidth="1"/>
    <col min="8955" max="8955" width="8.109375" customWidth="1"/>
    <col min="8956" max="8956" width="7.5546875" customWidth="1"/>
    <col min="8957" max="8958" width="9" hidden="1" customWidth="1"/>
    <col min="8959" max="8959" width="6.5546875" customWidth="1"/>
    <col min="8960" max="8960" width="7.33203125" customWidth="1"/>
    <col min="8961" max="8962" width="7.5546875" customWidth="1"/>
    <col min="8963" max="8964" width="9" hidden="1" customWidth="1"/>
    <col min="8965" max="8966" width="5.5546875" customWidth="1"/>
    <col min="8967" max="8967" width="7" customWidth="1"/>
    <col min="8968" max="8969" width="9" hidden="1" customWidth="1"/>
    <col min="8970" max="8970" width="8.88671875" customWidth="1"/>
    <col min="8971" max="8971" width="9.109375"/>
    <col min="8972" max="8981" width="9" hidden="1" customWidth="1"/>
    <col min="8982" max="9190" width="9.109375"/>
    <col min="9191" max="9191" width="3.5546875" customWidth="1"/>
    <col min="9192" max="9192" width="27.109375" customWidth="1"/>
    <col min="9193" max="9193" width="8.109375" customWidth="1"/>
    <col min="9194" max="9194" width="5" customWidth="1"/>
    <col min="9195" max="9195" width="6" customWidth="1"/>
    <col min="9196" max="9198" width="6.5546875" customWidth="1"/>
    <col min="9199" max="9200" width="7.5546875" customWidth="1"/>
    <col min="9201" max="9202" width="9" hidden="1" customWidth="1"/>
    <col min="9203" max="9203" width="7.109375" customWidth="1"/>
    <col min="9204" max="9204" width="7.5546875" customWidth="1"/>
    <col min="9205" max="9206" width="9" hidden="1" customWidth="1"/>
    <col min="9207" max="9207" width="0.109375" customWidth="1"/>
    <col min="9208" max="9208" width="9" hidden="1" customWidth="1"/>
    <col min="9209" max="9209" width="7.5546875" customWidth="1"/>
    <col min="9210" max="9210" width="7.6640625" customWidth="1"/>
    <col min="9211" max="9211" width="8.109375" customWidth="1"/>
    <col min="9212" max="9212" width="7.5546875" customWidth="1"/>
    <col min="9213" max="9214" width="9" hidden="1" customWidth="1"/>
    <col min="9215" max="9215" width="6.5546875" customWidth="1"/>
    <col min="9216" max="9216" width="7.33203125" customWidth="1"/>
    <col min="9217" max="9218" width="7.5546875" customWidth="1"/>
    <col min="9219" max="9220" width="9" hidden="1" customWidth="1"/>
    <col min="9221" max="9222" width="5.5546875" customWidth="1"/>
    <col min="9223" max="9223" width="7" customWidth="1"/>
    <col min="9224" max="9225" width="9" hidden="1" customWidth="1"/>
    <col min="9226" max="9226" width="8.88671875" customWidth="1"/>
    <col min="9227" max="9227" width="9.109375"/>
    <col min="9228" max="9237" width="9" hidden="1" customWidth="1"/>
    <col min="9238" max="9446" width="9.109375"/>
    <col min="9447" max="9447" width="3.5546875" customWidth="1"/>
    <col min="9448" max="9448" width="27.109375" customWidth="1"/>
    <col min="9449" max="9449" width="8.109375" customWidth="1"/>
    <col min="9450" max="9450" width="5" customWidth="1"/>
    <col min="9451" max="9451" width="6" customWidth="1"/>
    <col min="9452" max="9454" width="6.5546875" customWidth="1"/>
    <col min="9455" max="9456" width="7.5546875" customWidth="1"/>
    <col min="9457" max="9458" width="9" hidden="1" customWidth="1"/>
    <col min="9459" max="9459" width="7.109375" customWidth="1"/>
    <col min="9460" max="9460" width="7.5546875" customWidth="1"/>
    <col min="9461" max="9462" width="9" hidden="1" customWidth="1"/>
    <col min="9463" max="9463" width="0.109375" customWidth="1"/>
    <col min="9464" max="9464" width="9" hidden="1" customWidth="1"/>
    <col min="9465" max="9465" width="7.5546875" customWidth="1"/>
    <col min="9466" max="9466" width="7.6640625" customWidth="1"/>
    <col min="9467" max="9467" width="8.109375" customWidth="1"/>
    <col min="9468" max="9468" width="7.5546875" customWidth="1"/>
    <col min="9469" max="9470" width="9" hidden="1" customWidth="1"/>
    <col min="9471" max="9471" width="6.5546875" customWidth="1"/>
    <col min="9472" max="9472" width="7.33203125" customWidth="1"/>
    <col min="9473" max="9474" width="7.5546875" customWidth="1"/>
    <col min="9475" max="9476" width="9" hidden="1" customWidth="1"/>
    <col min="9477" max="9478" width="5.5546875" customWidth="1"/>
    <col min="9479" max="9479" width="7" customWidth="1"/>
    <col min="9480" max="9481" width="9" hidden="1" customWidth="1"/>
    <col min="9482" max="9482" width="8.88671875" customWidth="1"/>
    <col min="9483" max="9483" width="9.109375"/>
    <col min="9484" max="9493" width="9" hidden="1" customWidth="1"/>
    <col min="9494" max="9702" width="9.109375"/>
    <col min="9703" max="9703" width="3.5546875" customWidth="1"/>
    <col min="9704" max="9704" width="27.109375" customWidth="1"/>
    <col min="9705" max="9705" width="8.109375" customWidth="1"/>
    <col min="9706" max="9706" width="5" customWidth="1"/>
    <col min="9707" max="9707" width="6" customWidth="1"/>
    <col min="9708" max="9710" width="6.5546875" customWidth="1"/>
    <col min="9711" max="9712" width="7.5546875" customWidth="1"/>
    <col min="9713" max="9714" width="9" hidden="1" customWidth="1"/>
    <col min="9715" max="9715" width="7.109375" customWidth="1"/>
    <col min="9716" max="9716" width="7.5546875" customWidth="1"/>
    <col min="9717" max="9718" width="9" hidden="1" customWidth="1"/>
    <col min="9719" max="9719" width="0.109375" customWidth="1"/>
    <col min="9720" max="9720" width="9" hidden="1" customWidth="1"/>
    <col min="9721" max="9721" width="7.5546875" customWidth="1"/>
    <col min="9722" max="9722" width="7.6640625" customWidth="1"/>
    <col min="9723" max="9723" width="8.109375" customWidth="1"/>
    <col min="9724" max="9724" width="7.5546875" customWidth="1"/>
    <col min="9725" max="9726" width="9" hidden="1" customWidth="1"/>
    <col min="9727" max="9727" width="6.5546875" customWidth="1"/>
    <col min="9728" max="9728" width="7.33203125" customWidth="1"/>
    <col min="9729" max="9730" width="7.5546875" customWidth="1"/>
    <col min="9731" max="9732" width="9" hidden="1" customWidth="1"/>
    <col min="9733" max="9734" width="5.5546875" customWidth="1"/>
    <col min="9735" max="9735" width="7" customWidth="1"/>
    <col min="9736" max="9737" width="9" hidden="1" customWidth="1"/>
    <col min="9738" max="9738" width="8.88671875" customWidth="1"/>
    <col min="9739" max="9739" width="9.109375"/>
    <col min="9740" max="9749" width="9" hidden="1" customWidth="1"/>
    <col min="9750" max="9958" width="9.109375"/>
    <col min="9959" max="9959" width="3.5546875" customWidth="1"/>
    <col min="9960" max="9960" width="27.109375" customWidth="1"/>
    <col min="9961" max="9961" width="8.109375" customWidth="1"/>
    <col min="9962" max="9962" width="5" customWidth="1"/>
    <col min="9963" max="9963" width="6" customWidth="1"/>
    <col min="9964" max="9966" width="6.5546875" customWidth="1"/>
    <col min="9967" max="9968" width="7.5546875" customWidth="1"/>
    <col min="9969" max="9970" width="9" hidden="1" customWidth="1"/>
    <col min="9971" max="9971" width="7.109375" customWidth="1"/>
    <col min="9972" max="9972" width="7.5546875" customWidth="1"/>
    <col min="9973" max="9974" width="9" hidden="1" customWidth="1"/>
    <col min="9975" max="9975" width="0.109375" customWidth="1"/>
    <col min="9976" max="9976" width="9" hidden="1" customWidth="1"/>
    <col min="9977" max="9977" width="7.5546875" customWidth="1"/>
    <col min="9978" max="9978" width="7.6640625" customWidth="1"/>
    <col min="9979" max="9979" width="8.109375" customWidth="1"/>
    <col min="9980" max="9980" width="7.5546875" customWidth="1"/>
    <col min="9981" max="9982" width="9" hidden="1" customWidth="1"/>
    <col min="9983" max="9983" width="6.5546875" customWidth="1"/>
    <col min="9984" max="9984" width="7.33203125" customWidth="1"/>
    <col min="9985" max="9986" width="7.5546875" customWidth="1"/>
    <col min="9987" max="9988" width="9" hidden="1" customWidth="1"/>
    <col min="9989" max="9990" width="5.5546875" customWidth="1"/>
    <col min="9991" max="9991" width="7" customWidth="1"/>
    <col min="9992" max="9993" width="9" hidden="1" customWidth="1"/>
    <col min="9994" max="9994" width="8.88671875" customWidth="1"/>
    <col min="9995" max="9995" width="9.109375"/>
    <col min="9996" max="10005" width="9" hidden="1" customWidth="1"/>
    <col min="10006" max="10214" width="9.109375"/>
    <col min="10215" max="10215" width="3.5546875" customWidth="1"/>
    <col min="10216" max="10216" width="27.109375" customWidth="1"/>
    <col min="10217" max="10217" width="8.109375" customWidth="1"/>
    <col min="10218" max="10218" width="5" customWidth="1"/>
    <col min="10219" max="10219" width="6" customWidth="1"/>
    <col min="10220" max="10222" width="6.5546875" customWidth="1"/>
    <col min="10223" max="10224" width="7.5546875" customWidth="1"/>
    <col min="10225" max="10226" width="9" hidden="1" customWidth="1"/>
    <col min="10227" max="10227" width="7.109375" customWidth="1"/>
    <col min="10228" max="10228" width="7.5546875" customWidth="1"/>
    <col min="10229" max="10230" width="9" hidden="1" customWidth="1"/>
    <col min="10231" max="10231" width="0.109375" customWidth="1"/>
    <col min="10232" max="10232" width="9" hidden="1" customWidth="1"/>
    <col min="10233" max="10233" width="7.5546875" customWidth="1"/>
    <col min="10234" max="10234" width="7.6640625" customWidth="1"/>
    <col min="10235" max="10235" width="8.109375" customWidth="1"/>
    <col min="10236" max="10236" width="7.5546875" customWidth="1"/>
    <col min="10237" max="10238" width="9" hidden="1" customWidth="1"/>
    <col min="10239" max="10239" width="6.5546875" customWidth="1"/>
    <col min="10240" max="10240" width="7.33203125" customWidth="1"/>
    <col min="10241" max="10242" width="7.5546875" customWidth="1"/>
    <col min="10243" max="10244" width="9" hidden="1" customWidth="1"/>
    <col min="10245" max="10246" width="5.5546875" customWidth="1"/>
    <col min="10247" max="10247" width="7" customWidth="1"/>
    <col min="10248" max="10249" width="9" hidden="1" customWidth="1"/>
    <col min="10250" max="10250" width="8.88671875" customWidth="1"/>
    <col min="10251" max="10251" width="9.109375"/>
    <col min="10252" max="10261" width="9" hidden="1" customWidth="1"/>
    <col min="10262" max="10470" width="9.109375"/>
    <col min="10471" max="10471" width="3.5546875" customWidth="1"/>
    <col min="10472" max="10472" width="27.109375" customWidth="1"/>
    <col min="10473" max="10473" width="8.109375" customWidth="1"/>
    <col min="10474" max="10474" width="5" customWidth="1"/>
    <col min="10475" max="10475" width="6" customWidth="1"/>
    <col min="10476" max="10478" width="6.5546875" customWidth="1"/>
    <col min="10479" max="10480" width="7.5546875" customWidth="1"/>
    <col min="10481" max="10482" width="9" hidden="1" customWidth="1"/>
    <col min="10483" max="10483" width="7.109375" customWidth="1"/>
    <col min="10484" max="10484" width="7.5546875" customWidth="1"/>
    <col min="10485" max="10486" width="9" hidden="1" customWidth="1"/>
    <col min="10487" max="10487" width="0.109375" customWidth="1"/>
    <col min="10488" max="10488" width="9" hidden="1" customWidth="1"/>
    <col min="10489" max="10489" width="7.5546875" customWidth="1"/>
    <col min="10490" max="10490" width="7.6640625" customWidth="1"/>
    <col min="10491" max="10491" width="8.109375" customWidth="1"/>
    <col min="10492" max="10492" width="7.5546875" customWidth="1"/>
    <col min="10493" max="10494" width="9" hidden="1" customWidth="1"/>
    <col min="10495" max="10495" width="6.5546875" customWidth="1"/>
    <col min="10496" max="10496" width="7.33203125" customWidth="1"/>
    <col min="10497" max="10498" width="7.5546875" customWidth="1"/>
    <col min="10499" max="10500" width="9" hidden="1" customWidth="1"/>
    <col min="10501" max="10502" width="5.5546875" customWidth="1"/>
    <col min="10503" max="10503" width="7" customWidth="1"/>
    <col min="10504" max="10505" width="9" hidden="1" customWidth="1"/>
    <col min="10506" max="10506" width="8.88671875" customWidth="1"/>
    <col min="10507" max="10507" width="9.109375"/>
    <col min="10508" max="10517" width="9" hidden="1" customWidth="1"/>
    <col min="10518" max="10726" width="9.109375"/>
    <col min="10727" max="10727" width="3.5546875" customWidth="1"/>
    <col min="10728" max="10728" width="27.109375" customWidth="1"/>
    <col min="10729" max="10729" width="8.109375" customWidth="1"/>
    <col min="10730" max="10730" width="5" customWidth="1"/>
    <col min="10731" max="10731" width="6" customWidth="1"/>
    <col min="10732" max="10734" width="6.5546875" customWidth="1"/>
    <col min="10735" max="10736" width="7.5546875" customWidth="1"/>
    <col min="10737" max="10738" width="9" hidden="1" customWidth="1"/>
    <col min="10739" max="10739" width="7.109375" customWidth="1"/>
    <col min="10740" max="10740" width="7.5546875" customWidth="1"/>
    <col min="10741" max="10742" width="9" hidden="1" customWidth="1"/>
    <col min="10743" max="10743" width="0.109375" customWidth="1"/>
    <col min="10744" max="10744" width="9" hidden="1" customWidth="1"/>
    <col min="10745" max="10745" width="7.5546875" customWidth="1"/>
    <col min="10746" max="10746" width="7.6640625" customWidth="1"/>
    <col min="10747" max="10747" width="8.109375" customWidth="1"/>
    <col min="10748" max="10748" width="7.5546875" customWidth="1"/>
    <col min="10749" max="10750" width="9" hidden="1" customWidth="1"/>
    <col min="10751" max="10751" width="6.5546875" customWidth="1"/>
    <col min="10752" max="10752" width="7.33203125" customWidth="1"/>
    <col min="10753" max="10754" width="7.5546875" customWidth="1"/>
    <col min="10755" max="10756" width="9" hidden="1" customWidth="1"/>
    <col min="10757" max="10758" width="5.5546875" customWidth="1"/>
    <col min="10759" max="10759" width="7" customWidth="1"/>
    <col min="10760" max="10761" width="9" hidden="1" customWidth="1"/>
    <col min="10762" max="10762" width="8.88671875" customWidth="1"/>
    <col min="10763" max="10763" width="9.109375"/>
    <col min="10764" max="10773" width="9" hidden="1" customWidth="1"/>
    <col min="10774" max="10982" width="9.109375"/>
    <col min="10983" max="10983" width="3.5546875" customWidth="1"/>
    <col min="10984" max="10984" width="27.109375" customWidth="1"/>
    <col min="10985" max="10985" width="8.109375" customWidth="1"/>
    <col min="10986" max="10986" width="5" customWidth="1"/>
    <col min="10987" max="10987" width="6" customWidth="1"/>
    <col min="10988" max="10990" width="6.5546875" customWidth="1"/>
    <col min="10991" max="10992" width="7.5546875" customWidth="1"/>
    <col min="10993" max="10994" width="9" hidden="1" customWidth="1"/>
    <col min="10995" max="10995" width="7.109375" customWidth="1"/>
    <col min="10996" max="10996" width="7.5546875" customWidth="1"/>
    <col min="10997" max="10998" width="9" hidden="1" customWidth="1"/>
    <col min="10999" max="10999" width="0.109375" customWidth="1"/>
    <col min="11000" max="11000" width="9" hidden="1" customWidth="1"/>
    <col min="11001" max="11001" width="7.5546875" customWidth="1"/>
    <col min="11002" max="11002" width="7.6640625" customWidth="1"/>
    <col min="11003" max="11003" width="8.109375" customWidth="1"/>
    <col min="11004" max="11004" width="7.5546875" customWidth="1"/>
    <col min="11005" max="11006" width="9" hidden="1" customWidth="1"/>
    <col min="11007" max="11007" width="6.5546875" customWidth="1"/>
    <col min="11008" max="11008" width="7.33203125" customWidth="1"/>
    <col min="11009" max="11010" width="7.5546875" customWidth="1"/>
    <col min="11011" max="11012" width="9" hidden="1" customWidth="1"/>
    <col min="11013" max="11014" width="5.5546875" customWidth="1"/>
    <col min="11015" max="11015" width="7" customWidth="1"/>
    <col min="11016" max="11017" width="9" hidden="1" customWidth="1"/>
    <col min="11018" max="11018" width="8.88671875" customWidth="1"/>
    <col min="11019" max="11019" width="9.109375"/>
    <col min="11020" max="11029" width="9" hidden="1" customWidth="1"/>
    <col min="11030" max="11238" width="9.109375"/>
    <col min="11239" max="11239" width="3.5546875" customWidth="1"/>
    <col min="11240" max="11240" width="27.109375" customWidth="1"/>
    <col min="11241" max="11241" width="8.109375" customWidth="1"/>
    <col min="11242" max="11242" width="5" customWidth="1"/>
    <col min="11243" max="11243" width="6" customWidth="1"/>
    <col min="11244" max="11246" width="6.5546875" customWidth="1"/>
    <col min="11247" max="11248" width="7.5546875" customWidth="1"/>
    <col min="11249" max="11250" width="9" hidden="1" customWidth="1"/>
    <col min="11251" max="11251" width="7.109375" customWidth="1"/>
    <col min="11252" max="11252" width="7.5546875" customWidth="1"/>
    <col min="11253" max="11254" width="9" hidden="1" customWidth="1"/>
    <col min="11255" max="11255" width="0.109375" customWidth="1"/>
    <col min="11256" max="11256" width="9" hidden="1" customWidth="1"/>
    <col min="11257" max="11257" width="7.5546875" customWidth="1"/>
    <col min="11258" max="11258" width="7.6640625" customWidth="1"/>
    <col min="11259" max="11259" width="8.109375" customWidth="1"/>
    <col min="11260" max="11260" width="7.5546875" customWidth="1"/>
    <col min="11261" max="11262" width="9" hidden="1" customWidth="1"/>
    <col min="11263" max="11263" width="6.5546875" customWidth="1"/>
    <col min="11264" max="11264" width="7.33203125" customWidth="1"/>
    <col min="11265" max="11266" width="7.5546875" customWidth="1"/>
    <col min="11267" max="11268" width="9" hidden="1" customWidth="1"/>
    <col min="11269" max="11270" width="5.5546875" customWidth="1"/>
    <col min="11271" max="11271" width="7" customWidth="1"/>
    <col min="11272" max="11273" width="9" hidden="1" customWidth="1"/>
    <col min="11274" max="11274" width="8.88671875" customWidth="1"/>
    <col min="11275" max="11275" width="9.109375"/>
    <col min="11276" max="11285" width="9" hidden="1" customWidth="1"/>
    <col min="11286" max="11494" width="9.109375"/>
    <col min="11495" max="11495" width="3.5546875" customWidth="1"/>
    <col min="11496" max="11496" width="27.109375" customWidth="1"/>
    <col min="11497" max="11497" width="8.109375" customWidth="1"/>
    <col min="11498" max="11498" width="5" customWidth="1"/>
    <col min="11499" max="11499" width="6" customWidth="1"/>
    <col min="11500" max="11502" width="6.5546875" customWidth="1"/>
    <col min="11503" max="11504" width="7.5546875" customWidth="1"/>
    <col min="11505" max="11506" width="9" hidden="1" customWidth="1"/>
    <col min="11507" max="11507" width="7.109375" customWidth="1"/>
    <col min="11508" max="11508" width="7.5546875" customWidth="1"/>
    <col min="11509" max="11510" width="9" hidden="1" customWidth="1"/>
    <col min="11511" max="11511" width="0.109375" customWidth="1"/>
    <col min="11512" max="11512" width="9" hidden="1" customWidth="1"/>
    <col min="11513" max="11513" width="7.5546875" customWidth="1"/>
    <col min="11514" max="11514" width="7.6640625" customWidth="1"/>
    <col min="11515" max="11515" width="8.109375" customWidth="1"/>
    <col min="11516" max="11516" width="7.5546875" customWidth="1"/>
    <col min="11517" max="11518" width="9" hidden="1" customWidth="1"/>
    <col min="11519" max="11519" width="6.5546875" customWidth="1"/>
    <col min="11520" max="11520" width="7.33203125" customWidth="1"/>
    <col min="11521" max="11522" width="7.5546875" customWidth="1"/>
    <col min="11523" max="11524" width="9" hidden="1" customWidth="1"/>
    <col min="11525" max="11526" width="5.5546875" customWidth="1"/>
    <col min="11527" max="11527" width="7" customWidth="1"/>
    <col min="11528" max="11529" width="9" hidden="1" customWidth="1"/>
    <col min="11530" max="11530" width="8.88671875" customWidth="1"/>
    <col min="11531" max="11531" width="9.109375"/>
    <col min="11532" max="11541" width="9" hidden="1" customWidth="1"/>
    <col min="11542" max="11750" width="9.109375"/>
    <col min="11751" max="11751" width="3.5546875" customWidth="1"/>
    <col min="11752" max="11752" width="27.109375" customWidth="1"/>
    <col min="11753" max="11753" width="8.109375" customWidth="1"/>
    <col min="11754" max="11754" width="5" customWidth="1"/>
    <col min="11755" max="11755" width="6" customWidth="1"/>
    <col min="11756" max="11758" width="6.5546875" customWidth="1"/>
    <col min="11759" max="11760" width="7.5546875" customWidth="1"/>
    <col min="11761" max="11762" width="9" hidden="1" customWidth="1"/>
    <col min="11763" max="11763" width="7.109375" customWidth="1"/>
    <col min="11764" max="11764" width="7.5546875" customWidth="1"/>
    <col min="11765" max="11766" width="9" hidden="1" customWidth="1"/>
    <col min="11767" max="11767" width="0.109375" customWidth="1"/>
    <col min="11768" max="11768" width="9" hidden="1" customWidth="1"/>
    <col min="11769" max="11769" width="7.5546875" customWidth="1"/>
    <col min="11770" max="11770" width="7.6640625" customWidth="1"/>
    <col min="11771" max="11771" width="8.109375" customWidth="1"/>
    <col min="11772" max="11772" width="7.5546875" customWidth="1"/>
    <col min="11773" max="11774" width="9" hidden="1" customWidth="1"/>
    <col min="11775" max="11775" width="6.5546875" customWidth="1"/>
    <col min="11776" max="11776" width="7.33203125" customWidth="1"/>
    <col min="11777" max="11778" width="7.5546875" customWidth="1"/>
    <col min="11779" max="11780" width="9" hidden="1" customWidth="1"/>
    <col min="11781" max="11782" width="5.5546875" customWidth="1"/>
    <col min="11783" max="11783" width="7" customWidth="1"/>
    <col min="11784" max="11785" width="9" hidden="1" customWidth="1"/>
    <col min="11786" max="11786" width="8.88671875" customWidth="1"/>
    <col min="11787" max="11787" width="9.109375"/>
    <col min="11788" max="11797" width="9" hidden="1" customWidth="1"/>
    <col min="11798" max="12006" width="9.109375"/>
    <col min="12007" max="12007" width="3.5546875" customWidth="1"/>
    <col min="12008" max="12008" width="27.109375" customWidth="1"/>
    <col min="12009" max="12009" width="8.109375" customWidth="1"/>
    <col min="12010" max="12010" width="5" customWidth="1"/>
    <col min="12011" max="12011" width="6" customWidth="1"/>
    <col min="12012" max="12014" width="6.5546875" customWidth="1"/>
    <col min="12015" max="12016" width="7.5546875" customWidth="1"/>
    <col min="12017" max="12018" width="9" hidden="1" customWidth="1"/>
    <col min="12019" max="12019" width="7.109375" customWidth="1"/>
    <col min="12020" max="12020" width="7.5546875" customWidth="1"/>
    <col min="12021" max="12022" width="9" hidden="1" customWidth="1"/>
    <col min="12023" max="12023" width="0.109375" customWidth="1"/>
    <col min="12024" max="12024" width="9" hidden="1" customWidth="1"/>
    <col min="12025" max="12025" width="7.5546875" customWidth="1"/>
    <col min="12026" max="12026" width="7.6640625" customWidth="1"/>
    <col min="12027" max="12027" width="8.109375" customWidth="1"/>
    <col min="12028" max="12028" width="7.5546875" customWidth="1"/>
    <col min="12029" max="12030" width="9" hidden="1" customWidth="1"/>
    <col min="12031" max="12031" width="6.5546875" customWidth="1"/>
    <col min="12032" max="12032" width="7.33203125" customWidth="1"/>
    <col min="12033" max="12034" width="7.5546875" customWidth="1"/>
    <col min="12035" max="12036" width="9" hidden="1" customWidth="1"/>
    <col min="12037" max="12038" width="5.5546875" customWidth="1"/>
    <col min="12039" max="12039" width="7" customWidth="1"/>
    <col min="12040" max="12041" width="9" hidden="1" customWidth="1"/>
    <col min="12042" max="12042" width="8.88671875" customWidth="1"/>
    <col min="12043" max="12043" width="9.109375"/>
    <col min="12044" max="12053" width="9" hidden="1" customWidth="1"/>
    <col min="12054" max="12262" width="9.109375"/>
    <col min="12263" max="12263" width="3.5546875" customWidth="1"/>
    <col min="12264" max="12264" width="27.109375" customWidth="1"/>
    <col min="12265" max="12265" width="8.109375" customWidth="1"/>
    <col min="12266" max="12266" width="5" customWidth="1"/>
    <col min="12267" max="12267" width="6" customWidth="1"/>
    <col min="12268" max="12270" width="6.5546875" customWidth="1"/>
    <col min="12271" max="12272" width="7.5546875" customWidth="1"/>
    <col min="12273" max="12274" width="9" hidden="1" customWidth="1"/>
    <col min="12275" max="12275" width="7.109375" customWidth="1"/>
    <col min="12276" max="12276" width="7.5546875" customWidth="1"/>
    <col min="12277" max="12278" width="9" hidden="1" customWidth="1"/>
    <col min="12279" max="12279" width="0.109375" customWidth="1"/>
    <col min="12280" max="12280" width="9" hidden="1" customWidth="1"/>
    <col min="12281" max="12281" width="7.5546875" customWidth="1"/>
    <col min="12282" max="12282" width="7.6640625" customWidth="1"/>
    <col min="12283" max="12283" width="8.109375" customWidth="1"/>
    <col min="12284" max="12284" width="7.5546875" customWidth="1"/>
    <col min="12285" max="12286" width="9" hidden="1" customWidth="1"/>
    <col min="12287" max="12287" width="6.5546875" customWidth="1"/>
    <col min="12288" max="12288" width="7.33203125" customWidth="1"/>
    <col min="12289" max="12290" width="7.5546875" customWidth="1"/>
    <col min="12291" max="12292" width="9" hidden="1" customWidth="1"/>
    <col min="12293" max="12294" width="5.5546875" customWidth="1"/>
    <col min="12295" max="12295" width="7" customWidth="1"/>
    <col min="12296" max="12297" width="9" hidden="1" customWidth="1"/>
    <col min="12298" max="12298" width="8.88671875" customWidth="1"/>
    <col min="12299" max="12299" width="9.109375"/>
    <col min="12300" max="12309" width="9" hidden="1" customWidth="1"/>
    <col min="12310" max="12518" width="9.109375"/>
    <col min="12519" max="12519" width="3.5546875" customWidth="1"/>
    <col min="12520" max="12520" width="27.109375" customWidth="1"/>
    <col min="12521" max="12521" width="8.109375" customWidth="1"/>
    <col min="12522" max="12522" width="5" customWidth="1"/>
    <col min="12523" max="12523" width="6" customWidth="1"/>
    <col min="12524" max="12526" width="6.5546875" customWidth="1"/>
    <col min="12527" max="12528" width="7.5546875" customWidth="1"/>
    <col min="12529" max="12530" width="9" hidden="1" customWidth="1"/>
    <col min="12531" max="12531" width="7.109375" customWidth="1"/>
    <col min="12532" max="12532" width="7.5546875" customWidth="1"/>
    <col min="12533" max="12534" width="9" hidden="1" customWidth="1"/>
    <col min="12535" max="12535" width="0.109375" customWidth="1"/>
    <col min="12536" max="12536" width="9" hidden="1" customWidth="1"/>
    <col min="12537" max="12537" width="7.5546875" customWidth="1"/>
    <col min="12538" max="12538" width="7.6640625" customWidth="1"/>
    <col min="12539" max="12539" width="8.109375" customWidth="1"/>
    <col min="12540" max="12540" width="7.5546875" customWidth="1"/>
    <col min="12541" max="12542" width="9" hidden="1" customWidth="1"/>
    <col min="12543" max="12543" width="6.5546875" customWidth="1"/>
    <col min="12544" max="12544" width="7.33203125" customWidth="1"/>
    <col min="12545" max="12546" width="7.5546875" customWidth="1"/>
    <col min="12547" max="12548" width="9" hidden="1" customWidth="1"/>
    <col min="12549" max="12550" width="5.5546875" customWidth="1"/>
    <col min="12551" max="12551" width="7" customWidth="1"/>
    <col min="12552" max="12553" width="9" hidden="1" customWidth="1"/>
    <col min="12554" max="12554" width="8.88671875" customWidth="1"/>
    <col min="12555" max="12555" width="9.109375"/>
    <col min="12556" max="12565" width="9" hidden="1" customWidth="1"/>
    <col min="12566" max="12774" width="9.109375"/>
    <col min="12775" max="12775" width="3.5546875" customWidth="1"/>
    <col min="12776" max="12776" width="27.109375" customWidth="1"/>
    <col min="12777" max="12777" width="8.109375" customWidth="1"/>
    <col min="12778" max="12778" width="5" customWidth="1"/>
    <col min="12779" max="12779" width="6" customWidth="1"/>
    <col min="12780" max="12782" width="6.5546875" customWidth="1"/>
    <col min="12783" max="12784" width="7.5546875" customWidth="1"/>
    <col min="12785" max="12786" width="9" hidden="1" customWidth="1"/>
    <col min="12787" max="12787" width="7.109375" customWidth="1"/>
    <col min="12788" max="12788" width="7.5546875" customWidth="1"/>
    <col min="12789" max="12790" width="9" hidden="1" customWidth="1"/>
    <col min="12791" max="12791" width="0.109375" customWidth="1"/>
    <col min="12792" max="12792" width="9" hidden="1" customWidth="1"/>
    <col min="12793" max="12793" width="7.5546875" customWidth="1"/>
    <col min="12794" max="12794" width="7.6640625" customWidth="1"/>
    <col min="12795" max="12795" width="8.109375" customWidth="1"/>
    <col min="12796" max="12796" width="7.5546875" customWidth="1"/>
    <col min="12797" max="12798" width="9" hidden="1" customWidth="1"/>
    <col min="12799" max="12799" width="6.5546875" customWidth="1"/>
    <col min="12800" max="12800" width="7.33203125" customWidth="1"/>
    <col min="12801" max="12802" width="7.5546875" customWidth="1"/>
    <col min="12803" max="12804" width="9" hidden="1" customWidth="1"/>
    <col min="12805" max="12806" width="5.5546875" customWidth="1"/>
    <col min="12807" max="12807" width="7" customWidth="1"/>
    <col min="12808" max="12809" width="9" hidden="1" customWidth="1"/>
    <col min="12810" max="12810" width="8.88671875" customWidth="1"/>
    <col min="12811" max="12811" width="9.109375"/>
    <col min="12812" max="12821" width="9" hidden="1" customWidth="1"/>
    <col min="12822" max="13030" width="9.109375"/>
    <col min="13031" max="13031" width="3.5546875" customWidth="1"/>
    <col min="13032" max="13032" width="27.109375" customWidth="1"/>
    <col min="13033" max="13033" width="8.109375" customWidth="1"/>
    <col min="13034" max="13034" width="5" customWidth="1"/>
    <col min="13035" max="13035" width="6" customWidth="1"/>
    <col min="13036" max="13038" width="6.5546875" customWidth="1"/>
    <col min="13039" max="13040" width="7.5546875" customWidth="1"/>
    <col min="13041" max="13042" width="9" hidden="1" customWidth="1"/>
    <col min="13043" max="13043" width="7.109375" customWidth="1"/>
    <col min="13044" max="13044" width="7.5546875" customWidth="1"/>
    <col min="13045" max="13046" width="9" hidden="1" customWidth="1"/>
    <col min="13047" max="13047" width="0.109375" customWidth="1"/>
    <col min="13048" max="13048" width="9" hidden="1" customWidth="1"/>
    <col min="13049" max="13049" width="7.5546875" customWidth="1"/>
    <col min="13050" max="13050" width="7.6640625" customWidth="1"/>
    <col min="13051" max="13051" width="8.109375" customWidth="1"/>
    <col min="13052" max="13052" width="7.5546875" customWidth="1"/>
    <col min="13053" max="13054" width="9" hidden="1" customWidth="1"/>
    <col min="13055" max="13055" width="6.5546875" customWidth="1"/>
    <col min="13056" max="13056" width="7.33203125" customWidth="1"/>
    <col min="13057" max="13058" width="7.5546875" customWidth="1"/>
    <col min="13059" max="13060" width="9" hidden="1" customWidth="1"/>
    <col min="13061" max="13062" width="5.5546875" customWidth="1"/>
    <col min="13063" max="13063" width="7" customWidth="1"/>
    <col min="13064" max="13065" width="9" hidden="1" customWidth="1"/>
    <col min="13066" max="13066" width="8.88671875" customWidth="1"/>
    <col min="13067" max="13067" width="9.109375"/>
    <col min="13068" max="13077" width="9" hidden="1" customWidth="1"/>
    <col min="13078" max="13286" width="9.109375"/>
    <col min="13287" max="13287" width="3.5546875" customWidth="1"/>
    <col min="13288" max="13288" width="27.109375" customWidth="1"/>
    <col min="13289" max="13289" width="8.109375" customWidth="1"/>
    <col min="13290" max="13290" width="5" customWidth="1"/>
    <col min="13291" max="13291" width="6" customWidth="1"/>
    <col min="13292" max="13294" width="6.5546875" customWidth="1"/>
    <col min="13295" max="13296" width="7.5546875" customWidth="1"/>
    <col min="13297" max="13298" width="9" hidden="1" customWidth="1"/>
    <col min="13299" max="13299" width="7.109375" customWidth="1"/>
    <col min="13300" max="13300" width="7.5546875" customWidth="1"/>
    <col min="13301" max="13302" width="9" hidden="1" customWidth="1"/>
    <col min="13303" max="13303" width="0.109375" customWidth="1"/>
    <col min="13304" max="13304" width="9" hidden="1" customWidth="1"/>
    <col min="13305" max="13305" width="7.5546875" customWidth="1"/>
    <col min="13306" max="13306" width="7.6640625" customWidth="1"/>
    <col min="13307" max="13307" width="8.109375" customWidth="1"/>
    <col min="13308" max="13308" width="7.5546875" customWidth="1"/>
    <col min="13309" max="13310" width="9" hidden="1" customWidth="1"/>
    <col min="13311" max="13311" width="6.5546875" customWidth="1"/>
    <col min="13312" max="13312" width="7.33203125" customWidth="1"/>
    <col min="13313" max="13314" width="7.5546875" customWidth="1"/>
    <col min="13315" max="13316" width="9" hidden="1" customWidth="1"/>
    <col min="13317" max="13318" width="5.5546875" customWidth="1"/>
    <col min="13319" max="13319" width="7" customWidth="1"/>
    <col min="13320" max="13321" width="9" hidden="1" customWidth="1"/>
    <col min="13322" max="13322" width="8.88671875" customWidth="1"/>
    <col min="13323" max="13323" width="9.109375"/>
    <col min="13324" max="13333" width="9" hidden="1" customWidth="1"/>
    <col min="13334" max="13542" width="9.109375"/>
    <col min="13543" max="13543" width="3.5546875" customWidth="1"/>
    <col min="13544" max="13544" width="27.109375" customWidth="1"/>
    <col min="13545" max="13545" width="8.109375" customWidth="1"/>
    <col min="13546" max="13546" width="5" customWidth="1"/>
    <col min="13547" max="13547" width="6" customWidth="1"/>
    <col min="13548" max="13550" width="6.5546875" customWidth="1"/>
    <col min="13551" max="13552" width="7.5546875" customWidth="1"/>
    <col min="13553" max="13554" width="9" hidden="1" customWidth="1"/>
    <col min="13555" max="13555" width="7.109375" customWidth="1"/>
    <col min="13556" max="13556" width="7.5546875" customWidth="1"/>
    <col min="13557" max="13558" width="9" hidden="1" customWidth="1"/>
    <col min="13559" max="13559" width="0.109375" customWidth="1"/>
    <col min="13560" max="13560" width="9" hidden="1" customWidth="1"/>
    <col min="13561" max="13561" width="7.5546875" customWidth="1"/>
    <col min="13562" max="13562" width="7.6640625" customWidth="1"/>
    <col min="13563" max="13563" width="8.109375" customWidth="1"/>
    <col min="13564" max="13564" width="7.5546875" customWidth="1"/>
    <col min="13565" max="13566" width="9" hidden="1" customWidth="1"/>
    <col min="13567" max="13567" width="6.5546875" customWidth="1"/>
    <col min="13568" max="13568" width="7.33203125" customWidth="1"/>
    <col min="13569" max="13570" width="7.5546875" customWidth="1"/>
    <col min="13571" max="13572" width="9" hidden="1" customWidth="1"/>
    <col min="13573" max="13574" width="5.5546875" customWidth="1"/>
    <col min="13575" max="13575" width="7" customWidth="1"/>
    <col min="13576" max="13577" width="9" hidden="1" customWidth="1"/>
    <col min="13578" max="13578" width="8.88671875" customWidth="1"/>
    <col min="13579" max="13579" width="9.109375"/>
    <col min="13580" max="13589" width="9" hidden="1" customWidth="1"/>
    <col min="13590" max="13798" width="9.109375"/>
    <col min="13799" max="13799" width="3.5546875" customWidth="1"/>
    <col min="13800" max="13800" width="27.109375" customWidth="1"/>
    <col min="13801" max="13801" width="8.109375" customWidth="1"/>
    <col min="13802" max="13802" width="5" customWidth="1"/>
    <col min="13803" max="13803" width="6" customWidth="1"/>
    <col min="13804" max="13806" width="6.5546875" customWidth="1"/>
    <col min="13807" max="13808" width="7.5546875" customWidth="1"/>
    <col min="13809" max="13810" width="9" hidden="1" customWidth="1"/>
    <col min="13811" max="13811" width="7.109375" customWidth="1"/>
    <col min="13812" max="13812" width="7.5546875" customWidth="1"/>
    <col min="13813" max="13814" width="9" hidden="1" customWidth="1"/>
    <col min="13815" max="13815" width="0.109375" customWidth="1"/>
    <col min="13816" max="13816" width="9" hidden="1" customWidth="1"/>
    <col min="13817" max="13817" width="7.5546875" customWidth="1"/>
    <col min="13818" max="13818" width="7.6640625" customWidth="1"/>
    <col min="13819" max="13819" width="8.109375" customWidth="1"/>
    <col min="13820" max="13820" width="7.5546875" customWidth="1"/>
    <col min="13821" max="13822" width="9" hidden="1" customWidth="1"/>
    <col min="13823" max="13823" width="6.5546875" customWidth="1"/>
    <col min="13824" max="13824" width="7.33203125" customWidth="1"/>
    <col min="13825" max="13826" width="7.5546875" customWidth="1"/>
    <col min="13827" max="13828" width="9" hidden="1" customWidth="1"/>
    <col min="13829" max="13830" width="5.5546875" customWidth="1"/>
    <col min="13831" max="13831" width="7" customWidth="1"/>
    <col min="13832" max="13833" width="9" hidden="1" customWidth="1"/>
    <col min="13834" max="13834" width="8.88671875" customWidth="1"/>
    <col min="13835" max="13835" width="9.109375"/>
    <col min="13836" max="13845" width="9" hidden="1" customWidth="1"/>
    <col min="13846" max="14054" width="9.109375"/>
    <col min="14055" max="14055" width="3.5546875" customWidth="1"/>
    <col min="14056" max="14056" width="27.109375" customWidth="1"/>
    <col min="14057" max="14057" width="8.109375" customWidth="1"/>
    <col min="14058" max="14058" width="5" customWidth="1"/>
    <col min="14059" max="14059" width="6" customWidth="1"/>
    <col min="14060" max="14062" width="6.5546875" customWidth="1"/>
    <col min="14063" max="14064" width="7.5546875" customWidth="1"/>
    <col min="14065" max="14066" width="9" hidden="1" customWidth="1"/>
    <col min="14067" max="14067" width="7.109375" customWidth="1"/>
    <col min="14068" max="14068" width="7.5546875" customWidth="1"/>
    <col min="14069" max="14070" width="9" hidden="1" customWidth="1"/>
    <col min="14071" max="14071" width="0.109375" customWidth="1"/>
    <col min="14072" max="14072" width="9" hidden="1" customWidth="1"/>
    <col min="14073" max="14073" width="7.5546875" customWidth="1"/>
    <col min="14074" max="14074" width="7.6640625" customWidth="1"/>
    <col min="14075" max="14075" width="8.109375" customWidth="1"/>
    <col min="14076" max="14076" width="7.5546875" customWidth="1"/>
    <col min="14077" max="14078" width="9" hidden="1" customWidth="1"/>
    <col min="14079" max="14079" width="6.5546875" customWidth="1"/>
    <col min="14080" max="14080" width="7.33203125" customWidth="1"/>
    <col min="14081" max="14082" width="7.5546875" customWidth="1"/>
    <col min="14083" max="14084" width="9" hidden="1" customWidth="1"/>
    <col min="14085" max="14086" width="5.5546875" customWidth="1"/>
    <col min="14087" max="14087" width="7" customWidth="1"/>
    <col min="14088" max="14089" width="9" hidden="1" customWidth="1"/>
    <col min="14090" max="14090" width="8.88671875" customWidth="1"/>
    <col min="14091" max="14091" width="9.109375"/>
    <col min="14092" max="14101" width="9" hidden="1" customWidth="1"/>
    <col min="14102" max="14310" width="9.109375"/>
    <col min="14311" max="14311" width="3.5546875" customWidth="1"/>
    <col min="14312" max="14312" width="27.109375" customWidth="1"/>
    <col min="14313" max="14313" width="8.109375" customWidth="1"/>
    <col min="14314" max="14314" width="5" customWidth="1"/>
    <col min="14315" max="14315" width="6" customWidth="1"/>
    <col min="14316" max="14318" width="6.5546875" customWidth="1"/>
    <col min="14319" max="14320" width="7.5546875" customWidth="1"/>
    <col min="14321" max="14322" width="9" hidden="1" customWidth="1"/>
    <col min="14323" max="14323" width="7.109375" customWidth="1"/>
    <col min="14324" max="14324" width="7.5546875" customWidth="1"/>
    <col min="14325" max="14326" width="9" hidden="1" customWidth="1"/>
    <col min="14327" max="14327" width="0.109375" customWidth="1"/>
    <col min="14328" max="14328" width="9" hidden="1" customWidth="1"/>
    <col min="14329" max="14329" width="7.5546875" customWidth="1"/>
    <col min="14330" max="14330" width="7.6640625" customWidth="1"/>
    <col min="14331" max="14331" width="8.109375" customWidth="1"/>
    <col min="14332" max="14332" width="7.5546875" customWidth="1"/>
    <col min="14333" max="14334" width="9" hidden="1" customWidth="1"/>
    <col min="14335" max="14335" width="6.5546875" customWidth="1"/>
    <col min="14336" max="14336" width="7.33203125" customWidth="1"/>
    <col min="14337" max="14338" width="7.5546875" customWidth="1"/>
    <col min="14339" max="14340" width="9" hidden="1" customWidth="1"/>
    <col min="14341" max="14342" width="5.5546875" customWidth="1"/>
    <col min="14343" max="14343" width="7" customWidth="1"/>
    <col min="14344" max="14345" width="9" hidden="1" customWidth="1"/>
    <col min="14346" max="14346" width="8.88671875" customWidth="1"/>
    <col min="14347" max="14347" width="9.109375"/>
    <col min="14348" max="14357" width="9" hidden="1" customWidth="1"/>
    <col min="14358" max="14566" width="9.109375"/>
    <col min="14567" max="14567" width="3.5546875" customWidth="1"/>
    <col min="14568" max="14568" width="27.109375" customWidth="1"/>
    <col min="14569" max="14569" width="8.109375" customWidth="1"/>
    <col min="14570" max="14570" width="5" customWidth="1"/>
    <col min="14571" max="14571" width="6" customWidth="1"/>
    <col min="14572" max="14574" width="6.5546875" customWidth="1"/>
    <col min="14575" max="14576" width="7.5546875" customWidth="1"/>
    <col min="14577" max="14578" width="9" hidden="1" customWidth="1"/>
    <col min="14579" max="14579" width="7.109375" customWidth="1"/>
    <col min="14580" max="14580" width="7.5546875" customWidth="1"/>
    <col min="14581" max="14582" width="9" hidden="1" customWidth="1"/>
    <col min="14583" max="14583" width="0.109375" customWidth="1"/>
    <col min="14584" max="14584" width="9" hidden="1" customWidth="1"/>
    <col min="14585" max="14585" width="7.5546875" customWidth="1"/>
    <col min="14586" max="14586" width="7.6640625" customWidth="1"/>
    <col min="14587" max="14587" width="8.109375" customWidth="1"/>
    <col min="14588" max="14588" width="7.5546875" customWidth="1"/>
    <col min="14589" max="14590" width="9" hidden="1" customWidth="1"/>
    <col min="14591" max="14591" width="6.5546875" customWidth="1"/>
    <col min="14592" max="14592" width="7.33203125" customWidth="1"/>
    <col min="14593" max="14594" width="7.5546875" customWidth="1"/>
    <col min="14595" max="14596" width="9" hidden="1" customWidth="1"/>
    <col min="14597" max="14598" width="5.5546875" customWidth="1"/>
    <col min="14599" max="14599" width="7" customWidth="1"/>
    <col min="14600" max="14601" width="9" hidden="1" customWidth="1"/>
    <col min="14602" max="14602" width="8.88671875" customWidth="1"/>
    <col min="14603" max="14603" width="9.109375"/>
    <col min="14604" max="14613" width="9" hidden="1" customWidth="1"/>
    <col min="14614" max="14822" width="9.109375"/>
    <col min="14823" max="14823" width="3.5546875" customWidth="1"/>
    <col min="14824" max="14824" width="27.109375" customWidth="1"/>
    <col min="14825" max="14825" width="8.109375" customWidth="1"/>
    <col min="14826" max="14826" width="5" customWidth="1"/>
    <col min="14827" max="14827" width="6" customWidth="1"/>
    <col min="14828" max="14830" width="6.5546875" customWidth="1"/>
    <col min="14831" max="14832" width="7.5546875" customWidth="1"/>
    <col min="14833" max="14834" width="9" hidden="1" customWidth="1"/>
    <col min="14835" max="14835" width="7.109375" customWidth="1"/>
    <col min="14836" max="14836" width="7.5546875" customWidth="1"/>
    <col min="14837" max="14838" width="9" hidden="1" customWidth="1"/>
    <col min="14839" max="14839" width="0.109375" customWidth="1"/>
    <col min="14840" max="14840" width="9" hidden="1" customWidth="1"/>
    <col min="14841" max="14841" width="7.5546875" customWidth="1"/>
    <col min="14842" max="14842" width="7.6640625" customWidth="1"/>
    <col min="14843" max="14843" width="8.109375" customWidth="1"/>
    <col min="14844" max="14844" width="7.5546875" customWidth="1"/>
    <col min="14845" max="14846" width="9" hidden="1" customWidth="1"/>
    <col min="14847" max="14847" width="6.5546875" customWidth="1"/>
    <col min="14848" max="14848" width="7.33203125" customWidth="1"/>
    <col min="14849" max="14850" width="7.5546875" customWidth="1"/>
    <col min="14851" max="14852" width="9" hidden="1" customWidth="1"/>
    <col min="14853" max="14854" width="5.5546875" customWidth="1"/>
    <col min="14855" max="14855" width="7" customWidth="1"/>
    <col min="14856" max="14857" width="9" hidden="1" customWidth="1"/>
    <col min="14858" max="14858" width="8.88671875" customWidth="1"/>
    <col min="14859" max="14859" width="9.109375"/>
    <col min="14860" max="14869" width="9" hidden="1" customWidth="1"/>
    <col min="14870" max="15078" width="9.109375"/>
    <col min="15079" max="15079" width="3.5546875" customWidth="1"/>
    <col min="15080" max="15080" width="27.109375" customWidth="1"/>
    <col min="15081" max="15081" width="8.109375" customWidth="1"/>
    <col min="15082" max="15082" width="5" customWidth="1"/>
    <col min="15083" max="15083" width="6" customWidth="1"/>
    <col min="15084" max="15086" width="6.5546875" customWidth="1"/>
    <col min="15087" max="15088" width="7.5546875" customWidth="1"/>
    <col min="15089" max="15090" width="9" hidden="1" customWidth="1"/>
    <col min="15091" max="15091" width="7.109375" customWidth="1"/>
    <col min="15092" max="15092" width="7.5546875" customWidth="1"/>
    <col min="15093" max="15094" width="9" hidden="1" customWidth="1"/>
    <col min="15095" max="15095" width="0.109375" customWidth="1"/>
    <col min="15096" max="15096" width="9" hidden="1" customWidth="1"/>
    <col min="15097" max="15097" width="7.5546875" customWidth="1"/>
    <col min="15098" max="15098" width="7.6640625" customWidth="1"/>
    <col min="15099" max="15099" width="8.109375" customWidth="1"/>
    <col min="15100" max="15100" width="7.5546875" customWidth="1"/>
    <col min="15101" max="15102" width="9" hidden="1" customWidth="1"/>
    <col min="15103" max="15103" width="6.5546875" customWidth="1"/>
    <col min="15104" max="15104" width="7.33203125" customWidth="1"/>
    <col min="15105" max="15106" width="7.5546875" customWidth="1"/>
    <col min="15107" max="15108" width="9" hidden="1" customWidth="1"/>
    <col min="15109" max="15110" width="5.5546875" customWidth="1"/>
    <col min="15111" max="15111" width="7" customWidth="1"/>
    <col min="15112" max="15113" width="9" hidden="1" customWidth="1"/>
    <col min="15114" max="15114" width="8.88671875" customWidth="1"/>
    <col min="15115" max="15115" width="9.109375"/>
    <col min="15116" max="15125" width="9" hidden="1" customWidth="1"/>
    <col min="15126" max="15334" width="9.109375"/>
    <col min="15335" max="15335" width="3.5546875" customWidth="1"/>
    <col min="15336" max="15336" width="27.109375" customWidth="1"/>
    <col min="15337" max="15337" width="8.109375" customWidth="1"/>
    <col min="15338" max="15338" width="5" customWidth="1"/>
    <col min="15339" max="15339" width="6" customWidth="1"/>
    <col min="15340" max="15342" width="6.5546875" customWidth="1"/>
    <col min="15343" max="15344" width="7.5546875" customWidth="1"/>
    <col min="15345" max="15346" width="9" hidden="1" customWidth="1"/>
    <col min="15347" max="15347" width="7.109375" customWidth="1"/>
    <col min="15348" max="15348" width="7.5546875" customWidth="1"/>
    <col min="15349" max="15350" width="9" hidden="1" customWidth="1"/>
    <col min="15351" max="15351" width="0.109375" customWidth="1"/>
    <col min="15352" max="15352" width="9" hidden="1" customWidth="1"/>
    <col min="15353" max="15353" width="7.5546875" customWidth="1"/>
    <col min="15354" max="15354" width="7.6640625" customWidth="1"/>
    <col min="15355" max="15355" width="8.109375" customWidth="1"/>
    <col min="15356" max="15356" width="7.5546875" customWidth="1"/>
    <col min="15357" max="15358" width="9" hidden="1" customWidth="1"/>
    <col min="15359" max="15359" width="6.5546875" customWidth="1"/>
    <col min="15360" max="15360" width="7.33203125" customWidth="1"/>
    <col min="15361" max="15362" width="7.5546875" customWidth="1"/>
    <col min="15363" max="15364" width="9" hidden="1" customWidth="1"/>
    <col min="15365" max="15366" width="5.5546875" customWidth="1"/>
    <col min="15367" max="15367" width="7" customWidth="1"/>
    <col min="15368" max="15369" width="9" hidden="1" customWidth="1"/>
    <col min="15370" max="15370" width="8.88671875" customWidth="1"/>
    <col min="15371" max="15371" width="9.109375"/>
    <col min="15372" max="15381" width="9" hidden="1" customWidth="1"/>
    <col min="15382" max="15590" width="9.109375"/>
    <col min="15591" max="15591" width="3.5546875" customWidth="1"/>
    <col min="15592" max="15592" width="27.109375" customWidth="1"/>
    <col min="15593" max="15593" width="8.109375" customWidth="1"/>
    <col min="15594" max="15594" width="5" customWidth="1"/>
    <col min="15595" max="15595" width="6" customWidth="1"/>
    <col min="15596" max="15598" width="6.5546875" customWidth="1"/>
    <col min="15599" max="15600" width="7.5546875" customWidth="1"/>
    <col min="15601" max="15602" width="9" hidden="1" customWidth="1"/>
    <col min="15603" max="15603" width="7.109375" customWidth="1"/>
    <col min="15604" max="15604" width="7.5546875" customWidth="1"/>
    <col min="15605" max="15606" width="9" hidden="1" customWidth="1"/>
    <col min="15607" max="15607" width="0.109375" customWidth="1"/>
    <col min="15608" max="15608" width="9" hidden="1" customWidth="1"/>
    <col min="15609" max="15609" width="7.5546875" customWidth="1"/>
    <col min="15610" max="15610" width="7.6640625" customWidth="1"/>
    <col min="15611" max="15611" width="8.109375" customWidth="1"/>
    <col min="15612" max="15612" width="7.5546875" customWidth="1"/>
    <col min="15613" max="15614" width="9" hidden="1" customWidth="1"/>
    <col min="15615" max="15615" width="6.5546875" customWidth="1"/>
    <col min="15616" max="15616" width="7.33203125" customWidth="1"/>
    <col min="15617" max="15618" width="7.5546875" customWidth="1"/>
    <col min="15619" max="15620" width="9" hidden="1" customWidth="1"/>
    <col min="15621" max="15622" width="5.5546875" customWidth="1"/>
    <col min="15623" max="15623" width="7" customWidth="1"/>
    <col min="15624" max="15625" width="9" hidden="1" customWidth="1"/>
    <col min="15626" max="15626" width="8.88671875" customWidth="1"/>
    <col min="15627" max="15627" width="9.109375"/>
    <col min="15628" max="15637" width="9" hidden="1" customWidth="1"/>
    <col min="15638" max="15846" width="9.109375"/>
    <col min="15847" max="15847" width="3.5546875" customWidth="1"/>
    <col min="15848" max="15848" width="27.109375" customWidth="1"/>
    <col min="15849" max="15849" width="8.109375" customWidth="1"/>
    <col min="15850" max="15850" width="5" customWidth="1"/>
    <col min="15851" max="15851" width="6" customWidth="1"/>
    <col min="15852" max="15854" width="6.5546875" customWidth="1"/>
    <col min="15855" max="15856" width="7.5546875" customWidth="1"/>
    <col min="15857" max="15858" width="9" hidden="1" customWidth="1"/>
    <col min="15859" max="15859" width="7.109375" customWidth="1"/>
    <col min="15860" max="15860" width="7.5546875" customWidth="1"/>
    <col min="15861" max="15862" width="9" hidden="1" customWidth="1"/>
    <col min="15863" max="15863" width="0.109375" customWidth="1"/>
    <col min="15864" max="15864" width="9" hidden="1" customWidth="1"/>
    <col min="15865" max="15865" width="7.5546875" customWidth="1"/>
    <col min="15866" max="15866" width="7.6640625" customWidth="1"/>
    <col min="15867" max="15867" width="8.109375" customWidth="1"/>
    <col min="15868" max="15868" width="7.5546875" customWidth="1"/>
    <col min="15869" max="15870" width="9" hidden="1" customWidth="1"/>
    <col min="15871" max="15871" width="6.5546875" customWidth="1"/>
    <col min="15872" max="15872" width="7.33203125" customWidth="1"/>
    <col min="15873" max="15874" width="7.5546875" customWidth="1"/>
    <col min="15875" max="15876" width="9" hidden="1" customWidth="1"/>
    <col min="15877" max="15878" width="5.5546875" customWidth="1"/>
    <col min="15879" max="15879" width="7" customWidth="1"/>
    <col min="15880" max="15881" width="9" hidden="1" customWidth="1"/>
    <col min="15882" max="15882" width="8.88671875" customWidth="1"/>
    <col min="15883" max="15883" width="9.109375"/>
    <col min="15884" max="15893" width="9" hidden="1" customWidth="1"/>
    <col min="15894" max="16102" width="9.109375"/>
    <col min="16103" max="16103" width="3.5546875" customWidth="1"/>
    <col min="16104" max="16104" width="27.109375" customWidth="1"/>
    <col min="16105" max="16105" width="8.109375" customWidth="1"/>
    <col min="16106" max="16106" width="5" customWidth="1"/>
    <col min="16107" max="16107" width="6" customWidth="1"/>
    <col min="16108" max="16110" width="6.5546875" customWidth="1"/>
    <col min="16111" max="16112" width="7.5546875" customWidth="1"/>
    <col min="16113" max="16114" width="9" hidden="1" customWidth="1"/>
    <col min="16115" max="16115" width="7.109375" customWidth="1"/>
    <col min="16116" max="16116" width="7.5546875" customWidth="1"/>
    <col min="16117" max="16118" width="9" hidden="1" customWidth="1"/>
    <col min="16119" max="16119" width="0.109375" customWidth="1"/>
    <col min="16120" max="16120" width="9" hidden="1" customWidth="1"/>
    <col min="16121" max="16121" width="7.5546875" customWidth="1"/>
    <col min="16122" max="16122" width="7.6640625" customWidth="1"/>
    <col min="16123" max="16123" width="8.109375" customWidth="1"/>
    <col min="16124" max="16124" width="7.5546875" customWidth="1"/>
    <col min="16125" max="16126" width="9" hidden="1" customWidth="1"/>
    <col min="16127" max="16127" width="6.5546875" customWidth="1"/>
    <col min="16128" max="16128" width="7.33203125" customWidth="1"/>
    <col min="16129" max="16130" width="7.5546875" customWidth="1"/>
    <col min="16131" max="16132" width="9" hidden="1" customWidth="1"/>
    <col min="16133" max="16134" width="5.5546875" customWidth="1"/>
    <col min="16135" max="16135" width="7" customWidth="1"/>
    <col min="16136" max="16137" width="9" hidden="1" customWidth="1"/>
    <col min="16138" max="16138" width="8.88671875" customWidth="1"/>
    <col min="16139" max="16139" width="9.109375"/>
    <col min="16140" max="16149" width="9" hidden="1" customWidth="1"/>
    <col min="16150" max="16384" width="9.109375"/>
  </cols>
  <sheetData>
    <row r="1" spans="1:32" s="1" customFormat="1" ht="16.5" customHeight="1">
      <c r="A1" s="6"/>
      <c r="B1" s="88" t="s">
        <v>4</v>
      </c>
      <c r="C1" s="211" t="str">
        <f>Midterm!$C$1</f>
        <v>2025-2026</v>
      </c>
      <c r="D1" s="89"/>
      <c r="E1" s="90" t="s">
        <v>6</v>
      </c>
      <c r="F1" s="91">
        <f>Midterm!$F$1</f>
        <v>2</v>
      </c>
      <c r="G1" s="91"/>
      <c r="H1" s="90" t="s">
        <v>7</v>
      </c>
      <c r="I1" s="255">
        <f>Midterm!$I$1</f>
        <v>0</v>
      </c>
      <c r="J1" s="255"/>
      <c r="K1" s="255"/>
      <c r="L1" s="255"/>
      <c r="M1" s="92"/>
      <c r="N1" s="92"/>
      <c r="O1" s="92"/>
      <c r="P1" s="93"/>
      <c r="Q1" s="93"/>
      <c r="R1" s="93"/>
      <c r="S1" s="93"/>
      <c r="T1" s="214"/>
      <c r="U1" s="215"/>
      <c r="V1" s="94"/>
      <c r="X1" s="1">
        <v>1</v>
      </c>
      <c r="AC1" s="95"/>
    </row>
    <row r="2" spans="1:32" s="1" customFormat="1" ht="13.8">
      <c r="A2" s="14"/>
      <c r="B2" s="15" t="s">
        <v>8</v>
      </c>
      <c r="C2" s="16" t="str">
        <f>Midterm!$C$2</f>
        <v>IT 103 ADVANCED DATABASE MANAGEMENT SYSTEM</v>
      </c>
      <c r="D2" s="22"/>
      <c r="E2" s="22"/>
      <c r="F2" s="22"/>
      <c r="G2" s="22"/>
      <c r="H2" s="22"/>
      <c r="I2" s="22"/>
      <c r="J2" s="24"/>
      <c r="K2" s="24"/>
      <c r="L2" s="24"/>
      <c r="M2" s="24"/>
      <c r="N2" s="24"/>
      <c r="O2" s="34"/>
      <c r="P2" s="24"/>
      <c r="Q2" s="24"/>
      <c r="R2" s="24"/>
      <c r="S2" s="24"/>
      <c r="T2" s="24"/>
      <c r="U2" s="39"/>
      <c r="AC2" s="95"/>
    </row>
    <row r="3" spans="1:32" s="1" customFormat="1" ht="12">
      <c r="A3" s="14"/>
      <c r="B3" s="15" t="s">
        <v>10</v>
      </c>
      <c r="C3" s="96" t="s">
        <v>56</v>
      </c>
      <c r="D3" s="96"/>
      <c r="E3" s="97" t="s">
        <v>12</v>
      </c>
      <c r="F3" s="96" t="str">
        <f>Midterm!$F$3</f>
        <v>FAJARDO, REBECCA R.</v>
      </c>
      <c r="G3" s="96"/>
      <c r="H3" s="96"/>
      <c r="I3" s="36"/>
      <c r="J3" s="98"/>
      <c r="K3" s="37"/>
      <c r="L3" s="37"/>
      <c r="M3" s="37"/>
      <c r="N3" s="37"/>
      <c r="O3" s="37"/>
      <c r="P3" s="37"/>
      <c r="Q3" s="37"/>
      <c r="R3" s="37"/>
      <c r="S3" s="37"/>
      <c r="T3" s="37"/>
      <c r="U3" s="99"/>
      <c r="V3" s="100"/>
      <c r="AC3" s="95"/>
    </row>
    <row r="4" spans="1:32" s="1" customFormat="1" ht="12">
      <c r="A4" s="14"/>
      <c r="B4" s="15"/>
      <c r="C4" s="23"/>
      <c r="D4" s="29"/>
      <c r="E4" s="101"/>
      <c r="F4" s="101"/>
      <c r="G4" s="24"/>
      <c r="H4" s="23"/>
      <c r="I4" s="29"/>
      <c r="J4" s="29"/>
      <c r="K4" s="102"/>
      <c r="L4" s="103"/>
      <c r="M4" s="102"/>
      <c r="N4" s="103"/>
      <c r="O4" s="103"/>
      <c r="P4" s="102"/>
      <c r="Q4" s="103"/>
      <c r="R4" s="102"/>
      <c r="S4" s="103"/>
      <c r="T4" s="103"/>
      <c r="U4" s="104"/>
      <c r="V4" s="105"/>
      <c r="AC4" s="95"/>
    </row>
    <row r="5" spans="1:32" s="1" customFormat="1" ht="12">
      <c r="A5" s="14"/>
      <c r="B5" s="15" t="s">
        <v>14</v>
      </c>
      <c r="C5" s="23" t="s">
        <v>15</v>
      </c>
      <c r="D5" s="29" t="s">
        <v>16</v>
      </c>
      <c r="E5" s="101"/>
      <c r="F5" s="101"/>
      <c r="G5" s="24"/>
      <c r="H5" s="23"/>
      <c r="I5" s="29"/>
      <c r="J5" s="29"/>
      <c r="K5" s="102"/>
      <c r="L5" s="102"/>
      <c r="M5" s="103"/>
      <c r="N5" s="106"/>
      <c r="O5" s="106"/>
      <c r="P5" s="107" t="s">
        <v>17</v>
      </c>
      <c r="Q5" s="108"/>
      <c r="R5" s="109"/>
      <c r="S5" s="102"/>
      <c r="T5" s="102"/>
      <c r="U5" s="110"/>
      <c r="V5" s="100"/>
      <c r="AC5" s="95"/>
    </row>
    <row r="6" spans="1:32" s="1" customFormat="1" ht="12">
      <c r="A6" s="14"/>
      <c r="B6" s="111"/>
      <c r="C6" s="23" t="s">
        <v>18</v>
      </c>
      <c r="D6" s="29" t="s">
        <v>19</v>
      </c>
      <c r="E6" s="24"/>
      <c r="F6" s="24"/>
      <c r="G6" s="24"/>
      <c r="J6" s="24"/>
      <c r="K6" s="102"/>
      <c r="L6" s="102"/>
      <c r="M6" s="112"/>
      <c r="N6" s="112"/>
      <c r="O6" s="106"/>
      <c r="P6" s="113" t="s">
        <v>20</v>
      </c>
      <c r="Q6" s="114">
        <f>COUNTIF(U15:U59,"drp")</f>
        <v>0</v>
      </c>
      <c r="R6" s="115">
        <f>IF($Q$10&gt;0,(Q6/$Q$10)*100,0)</f>
        <v>0</v>
      </c>
      <c r="S6" s="102"/>
      <c r="T6" s="102"/>
      <c r="U6" s="110"/>
      <c r="V6" s="100"/>
      <c r="AC6" s="95"/>
    </row>
    <row r="7" spans="1:32" s="1" customFormat="1" ht="12">
      <c r="A7" s="14"/>
      <c r="B7" s="24"/>
      <c r="C7" s="23" t="s">
        <v>21</v>
      </c>
      <c r="D7" s="29" t="s">
        <v>22</v>
      </c>
      <c r="E7" s="101"/>
      <c r="F7" s="101"/>
      <c r="G7" s="24"/>
      <c r="H7" s="23"/>
      <c r="I7" s="29"/>
      <c r="J7" s="24"/>
      <c r="K7" s="102"/>
      <c r="L7" s="102"/>
      <c r="M7" s="112"/>
      <c r="N7" s="112"/>
      <c r="O7" s="106"/>
      <c r="P7" s="116" t="s">
        <v>23</v>
      </c>
      <c r="Q7" s="114">
        <f>COUNTIF(U15:U59,"inc")</f>
        <v>0</v>
      </c>
      <c r="R7" s="117">
        <f>IF($Q$10&gt;0,(Q7/$Q$10)*100,0)</f>
        <v>0</v>
      </c>
      <c r="S7" s="118"/>
      <c r="T7" s="106"/>
      <c r="U7" s="110"/>
      <c r="V7" s="100"/>
      <c r="AC7" s="95"/>
    </row>
    <row r="8" spans="1:32" s="1" customFormat="1" ht="12">
      <c r="A8" s="14"/>
      <c r="B8" s="22"/>
      <c r="C8" s="119" t="s">
        <v>24</v>
      </c>
      <c r="D8" s="120">
        <v>0.5</v>
      </c>
      <c r="E8" s="9" t="s">
        <v>25</v>
      </c>
      <c r="F8" s="121"/>
      <c r="G8" s="9"/>
      <c r="H8" s="122"/>
      <c r="I8" s="121"/>
      <c r="J8" s="123"/>
      <c r="K8" s="123"/>
      <c r="L8" s="106"/>
      <c r="M8" s="112"/>
      <c r="N8" s="112"/>
      <c r="O8" s="106"/>
      <c r="P8" s="116" t="s">
        <v>26</v>
      </c>
      <c r="Q8" s="114">
        <f>COUNTIF(U15:U59,"Pass")</f>
        <v>0</v>
      </c>
      <c r="R8" s="117">
        <f>IF($Q$10&gt;0,(Q8/$Q$10)*100,0)</f>
        <v>0</v>
      </c>
      <c r="S8" s="118"/>
      <c r="T8" s="106"/>
      <c r="U8" s="110"/>
      <c r="V8" s="100"/>
      <c r="AC8" s="95"/>
    </row>
    <row r="9" spans="1:32" s="1" customFormat="1" ht="12">
      <c r="A9" s="14"/>
      <c r="B9" s="111"/>
      <c r="C9" s="119" t="s">
        <v>27</v>
      </c>
      <c r="D9" s="124">
        <f>Midterm!$D$9</f>
        <v>75</v>
      </c>
      <c r="E9" s="9"/>
      <c r="F9" s="119" t="s">
        <v>28</v>
      </c>
      <c r="G9" s="125">
        <v>60</v>
      </c>
      <c r="H9" s="9"/>
      <c r="I9" s="119" t="s">
        <v>29</v>
      </c>
      <c r="J9" s="124">
        <f>Midterm!$J$9</f>
        <v>100</v>
      </c>
      <c r="K9" s="123"/>
      <c r="L9" s="106"/>
      <c r="M9" s="106"/>
      <c r="N9" s="106"/>
      <c r="O9" s="106"/>
      <c r="P9" s="116" t="s">
        <v>30</v>
      </c>
      <c r="Q9" s="114">
        <f>COUNTIF(U15:U59,"Fail")</f>
        <v>0</v>
      </c>
      <c r="R9" s="117">
        <f>IF($Q$10&gt;0,(Q9/$Q$10)*100,0)</f>
        <v>0</v>
      </c>
      <c r="S9" s="118"/>
      <c r="T9" s="106"/>
      <c r="U9" s="110"/>
      <c r="V9" s="100"/>
      <c r="AC9" s="95"/>
    </row>
    <row r="10" spans="1:32" s="1" customFormat="1" ht="13.8">
      <c r="A10" s="14"/>
      <c r="B10" s="111"/>
      <c r="C10" s="15" t="s">
        <v>31</v>
      </c>
      <c r="D10" s="126">
        <v>14</v>
      </c>
      <c r="E10" s="106"/>
      <c r="F10" s="118"/>
      <c r="G10" s="127"/>
      <c r="H10" s="102"/>
      <c r="I10" s="106"/>
      <c r="J10" s="127"/>
      <c r="K10" s="102"/>
      <c r="L10" s="106"/>
      <c r="M10" s="106"/>
      <c r="N10" s="106"/>
      <c r="O10" s="106"/>
      <c r="P10" s="128" t="s">
        <v>32</v>
      </c>
      <c r="Q10" s="128">
        <f>SUM(Q5:Q9)</f>
        <v>0</v>
      </c>
      <c r="R10" s="118"/>
      <c r="S10" s="118"/>
      <c r="T10" s="106"/>
      <c r="U10" s="110"/>
      <c r="V10" s="100"/>
      <c r="AC10" s="95"/>
    </row>
    <row r="11" spans="1:32" s="1" customFormat="1" ht="12">
      <c r="A11" s="129"/>
      <c r="B11" s="216"/>
      <c r="C11" s="216"/>
      <c r="D11" s="130"/>
      <c r="E11" s="131"/>
      <c r="F11" s="132"/>
      <c r="G11" s="132"/>
      <c r="H11" s="133"/>
      <c r="I11" s="131"/>
      <c r="J11" s="134"/>
      <c r="K11" s="134"/>
      <c r="L11" s="131"/>
      <c r="M11" s="131"/>
      <c r="N11" s="131"/>
      <c r="O11" s="131"/>
      <c r="P11" s="132"/>
      <c r="Q11" s="132"/>
      <c r="R11" s="132"/>
      <c r="S11" s="132"/>
      <c r="T11" s="131"/>
      <c r="U11" s="135"/>
      <c r="V11" s="100"/>
      <c r="W11" s="136" t="s">
        <v>33</v>
      </c>
      <c r="Y11" s="136" t="s">
        <v>34</v>
      </c>
      <c r="AB11" s="136" t="s">
        <v>35</v>
      </c>
      <c r="AE11" s="95" t="s">
        <v>2</v>
      </c>
    </row>
    <row r="12" spans="1:32" ht="14.25" customHeight="1">
      <c r="A12" s="221" t="s">
        <v>36</v>
      </c>
      <c r="B12" s="256" t="s">
        <v>37</v>
      </c>
      <c r="C12" s="226" t="s">
        <v>38</v>
      </c>
      <c r="D12" s="217">
        <v>0.1</v>
      </c>
      <c r="E12" s="218"/>
      <c r="F12" s="137">
        <v>0</v>
      </c>
      <c r="G12" s="138">
        <v>0</v>
      </c>
      <c r="H12" s="139" t="s">
        <v>39</v>
      </c>
      <c r="I12" s="140">
        <v>20</v>
      </c>
      <c r="J12" s="139" t="s">
        <v>40</v>
      </c>
      <c r="K12" s="140">
        <v>20</v>
      </c>
      <c r="L12" s="141">
        <v>0.2</v>
      </c>
      <c r="M12" s="142" t="s">
        <v>57</v>
      </c>
      <c r="N12" s="143">
        <v>100</v>
      </c>
      <c r="O12" s="141">
        <v>0.3</v>
      </c>
      <c r="P12" s="139" t="s">
        <v>42</v>
      </c>
      <c r="Q12" s="144">
        <v>100</v>
      </c>
      <c r="R12" s="145">
        <v>0.4</v>
      </c>
      <c r="S12" s="219" t="s">
        <v>43</v>
      </c>
      <c r="T12" s="220"/>
      <c r="U12" s="146">
        <f>R12+O12+L12+G12+F12+D12</f>
        <v>1</v>
      </c>
      <c r="V12" s="147"/>
      <c r="W12" s="87" t="s">
        <v>44</v>
      </c>
      <c r="X12">
        <f>D8*I12</f>
        <v>10</v>
      </c>
      <c r="Y12" s="87" t="s">
        <v>44</v>
      </c>
      <c r="Z12">
        <f>D8*K12</f>
        <v>10</v>
      </c>
      <c r="AB12" s="87" t="s">
        <v>44</v>
      </c>
      <c r="AC12">
        <f>D8*N12</f>
        <v>50</v>
      </c>
      <c r="AE12" s="87" t="s">
        <v>24</v>
      </c>
      <c r="AF12" s="148">
        <f>D8*Q12</f>
        <v>50</v>
      </c>
    </row>
    <row r="13" spans="1:32" ht="13.5" customHeight="1">
      <c r="A13" s="222"/>
      <c r="B13" s="257"/>
      <c r="C13" s="227"/>
      <c r="D13" s="229" t="s">
        <v>45</v>
      </c>
      <c r="E13" s="231" t="s">
        <v>15</v>
      </c>
      <c r="F13" s="233" t="s">
        <v>46</v>
      </c>
      <c r="G13" s="235" t="s">
        <v>47</v>
      </c>
      <c r="H13" s="237" t="s">
        <v>48</v>
      </c>
      <c r="I13" s="239" t="s">
        <v>15</v>
      </c>
      <c r="J13" s="237" t="s">
        <v>48</v>
      </c>
      <c r="K13" s="241" t="s">
        <v>15</v>
      </c>
      <c r="L13" s="243" t="s">
        <v>49</v>
      </c>
      <c r="M13" s="237" t="s">
        <v>50</v>
      </c>
      <c r="N13" s="245" t="s">
        <v>15</v>
      </c>
      <c r="O13" s="247" t="s">
        <v>15</v>
      </c>
      <c r="P13" s="237" t="s">
        <v>48</v>
      </c>
      <c r="Q13" s="245" t="s">
        <v>15</v>
      </c>
      <c r="R13" s="247" t="s">
        <v>2</v>
      </c>
      <c r="S13" s="249" t="s">
        <v>51</v>
      </c>
      <c r="T13" s="251" t="s">
        <v>52</v>
      </c>
      <c r="U13" s="252"/>
      <c r="V13" s="149"/>
      <c r="W13" s="87" t="s">
        <v>53</v>
      </c>
      <c r="X13">
        <f>PFactor/I12</f>
        <v>2.5</v>
      </c>
      <c r="Y13" s="87" t="s">
        <v>53</v>
      </c>
      <c r="Z13">
        <f>(PFactor/K12)</f>
        <v>2.5</v>
      </c>
      <c r="AB13" s="87" t="s">
        <v>53</v>
      </c>
      <c r="AC13">
        <f>(J9-75)/((1-D8)*N12)</f>
        <v>0.5</v>
      </c>
      <c r="AE13" s="87" t="s">
        <v>53</v>
      </c>
      <c r="AF13" s="150">
        <f>(PFactor/Q12)</f>
        <v>0.5</v>
      </c>
    </row>
    <row r="14" spans="1:32" ht="13.5" customHeight="1">
      <c r="A14" s="223"/>
      <c r="B14" s="151" t="s">
        <v>54</v>
      </c>
      <c r="C14" s="228"/>
      <c r="D14" s="230"/>
      <c r="E14" s="232"/>
      <c r="F14" s="234"/>
      <c r="G14" s="236"/>
      <c r="H14" s="238"/>
      <c r="I14" s="240"/>
      <c r="J14" s="238"/>
      <c r="K14" s="242"/>
      <c r="L14" s="244"/>
      <c r="M14" s="238"/>
      <c r="N14" s="246"/>
      <c r="O14" s="248"/>
      <c r="P14" s="238"/>
      <c r="Q14" s="246"/>
      <c r="R14" s="248"/>
      <c r="S14" s="250"/>
      <c r="T14" s="253"/>
      <c r="U14" s="254"/>
      <c r="V14" s="149"/>
      <c r="W14" s="87" t="s">
        <v>55</v>
      </c>
      <c r="X14">
        <f>(75-G9)/(D8*I12)</f>
        <v>1.5</v>
      </c>
      <c r="Y14" s="87" t="s">
        <v>55</v>
      </c>
      <c r="Z14">
        <f>(75-G9)/(D8*K12)</f>
        <v>1.5</v>
      </c>
      <c r="AB14" s="87" t="s">
        <v>55</v>
      </c>
      <c r="AC14">
        <f>(75-G9)/(D8*N12)</f>
        <v>0.3</v>
      </c>
      <c r="AE14" s="87" t="s">
        <v>55</v>
      </c>
      <c r="AF14" s="150">
        <f>(75-G9)/(D8*Q12)</f>
        <v>0.3</v>
      </c>
    </row>
    <row r="15" spans="1:32" ht="11.25" customHeight="1">
      <c r="A15" s="152" t="str">
        <f>IF(ISNONTEXT(B15),"",1)</f>
        <v/>
      </c>
      <c r="B15" s="153">
        <f>Midterm!B15</f>
        <v>0</v>
      </c>
      <c r="C15" s="154"/>
      <c r="D15" s="155">
        <v>0</v>
      </c>
      <c r="E15" s="156">
        <f>(($D$12*$J$9)/$D$10)*($D$10-D15)</f>
        <v>10</v>
      </c>
      <c r="F15" s="155"/>
      <c r="G15" s="155">
        <v>60</v>
      </c>
      <c r="H15" s="157">
        <v>11</v>
      </c>
      <c r="I15" s="158">
        <f>H15/I$12*50+50</f>
        <v>77.5</v>
      </c>
      <c r="J15" s="157">
        <v>15</v>
      </c>
      <c r="K15" s="159">
        <f>J15/K$12*50+50</f>
        <v>87.5</v>
      </c>
      <c r="L15" s="160">
        <f>IF($L$12=0,0,AVERAGE(I15,K15)*$L$12)</f>
        <v>16.5</v>
      </c>
      <c r="M15" s="161">
        <v>84</v>
      </c>
      <c r="N15" s="159">
        <f>IF($O$12="0"," ",Transmute)</f>
        <v>92</v>
      </c>
      <c r="O15" s="162">
        <f>IF($O$12=0,0,M15*$O$12)</f>
        <v>25.2</v>
      </c>
      <c r="P15" s="163">
        <v>98.571428571428598</v>
      </c>
      <c r="Q15" s="158">
        <f>P15/Q$12*50+50</f>
        <v>99.285714285714306</v>
      </c>
      <c r="R15" s="164">
        <f>Q15*$R$12</f>
        <v>39.714285714285701</v>
      </c>
      <c r="S15" s="165" t="str">
        <f t="shared" ref="S15" si="0">IF(ISNUMBER(T15),VLOOKUP(T15,EQTable,2),T15)</f>
        <v/>
      </c>
      <c r="T15" s="166" t="str">
        <f t="shared" ref="T15" si="1">IF(ISNONTEXT(B15),"",IF(C15="drp","drp",IF(Incomplete,"inc",ComputedGrade)))</f>
        <v/>
      </c>
      <c r="U15" s="167" t="str">
        <f>IF($D15&gt;10,"drp ",IF(ISNUMBER(T15),IF(T15&gt;=75,"Pass","Fail"),T15))</f>
        <v/>
      </c>
      <c r="V15" s="168"/>
    </row>
    <row r="16" spans="1:32" ht="11.25" customHeight="1">
      <c r="A16" s="169" t="str">
        <f>IF(ISNONTEXT(B16),"",A15+1)</f>
        <v/>
      </c>
      <c r="B16" s="153">
        <f>Midterm!B16</f>
        <v>0</v>
      </c>
      <c r="C16" s="170"/>
      <c r="D16" s="155">
        <v>2</v>
      </c>
      <c r="E16" s="156">
        <f t="shared" ref="E16:E43" si="2">(($D$12*$J$9)/$D$10)*($D$10-D16)</f>
        <v>8.5714285714285694</v>
      </c>
      <c r="F16" s="155"/>
      <c r="G16" s="155">
        <v>60</v>
      </c>
      <c r="H16" s="171">
        <v>9</v>
      </c>
      <c r="I16" s="158">
        <f t="shared" ref="I16:I59" si="3">H16/I$12*50+50</f>
        <v>72.5</v>
      </c>
      <c r="J16" s="171">
        <v>15</v>
      </c>
      <c r="K16" s="159">
        <f t="shared" ref="K16:K59" si="4">J16/K$12*50+50</f>
        <v>87.5</v>
      </c>
      <c r="L16" s="172">
        <f>IF($L$12=0,0,AVERAGE(I16,K16)*$L$12)</f>
        <v>16</v>
      </c>
      <c r="M16" s="173">
        <v>87</v>
      </c>
      <c r="N16" s="174">
        <f>IF($O$12="0"," ",Transmute)</f>
        <v>93.5</v>
      </c>
      <c r="O16" s="162">
        <f t="shared" ref="O16:O43" si="5">IF($O$12=0,0,M16*$O$12)</f>
        <v>26.1</v>
      </c>
      <c r="P16" s="163">
        <v>94.285714285714306</v>
      </c>
      <c r="Q16" s="158">
        <f t="shared" ref="Q16:Q59" si="6">P16/Q$12*50+50</f>
        <v>97.142857142857196</v>
      </c>
      <c r="R16" s="175">
        <f t="shared" ref="R16:R43" si="7">Q16*$R$12</f>
        <v>38.857142857142897</v>
      </c>
      <c r="S16" s="176" t="str">
        <f t="shared" ref="S16:S43" si="8">IF(ISNUMBER(T16),VLOOKUP(T16,EQTable,2),T16)</f>
        <v/>
      </c>
      <c r="T16" s="177" t="str">
        <f t="shared" ref="T16:T59" si="9">IF(ISNONTEXT(B16),"",IF(C16="drp","drp",IF(Incomplete,"inc",ComputedGrade)))</f>
        <v/>
      </c>
      <c r="U16" s="167" t="str">
        <f>IF($D16&gt;10,"drp ",IF(ISNUMBER(T16),IF(T16&gt;=75,"Pass","Fail"),T16))</f>
        <v/>
      </c>
      <c r="V16" s="168"/>
    </row>
    <row r="17" spans="1:22" ht="11.25" customHeight="1">
      <c r="A17" s="169" t="str">
        <f t="shared" ref="A17:A43" si="10">IF(ISNONTEXT(B17),"",A16+1)</f>
        <v/>
      </c>
      <c r="B17" s="153">
        <f>Midterm!B17</f>
        <v>0</v>
      </c>
      <c r="C17" s="170"/>
      <c r="D17" s="155">
        <v>0</v>
      </c>
      <c r="E17" s="156">
        <f t="shared" si="2"/>
        <v>10</v>
      </c>
      <c r="F17" s="155"/>
      <c r="G17" s="155">
        <v>60</v>
      </c>
      <c r="H17" s="171">
        <v>10</v>
      </c>
      <c r="I17" s="158">
        <f t="shared" si="3"/>
        <v>75</v>
      </c>
      <c r="J17" s="171">
        <v>14</v>
      </c>
      <c r="K17" s="159">
        <f t="shared" si="4"/>
        <v>85</v>
      </c>
      <c r="L17" s="172">
        <f t="shared" ref="L17:L43" si="11">IF($L$12=0,0,AVERAGE(I17,K17)*$L$12)</f>
        <v>16</v>
      </c>
      <c r="M17" s="173">
        <v>89</v>
      </c>
      <c r="N17" s="174">
        <f>IF($O$12="0"," ",Transmute)</f>
        <v>94.5</v>
      </c>
      <c r="O17" s="162">
        <f t="shared" si="5"/>
        <v>26.7</v>
      </c>
      <c r="P17" s="163">
        <v>98</v>
      </c>
      <c r="Q17" s="158">
        <f t="shared" si="6"/>
        <v>99</v>
      </c>
      <c r="R17" s="178">
        <f t="shared" si="7"/>
        <v>39.6</v>
      </c>
      <c r="S17" s="176" t="str">
        <f t="shared" si="8"/>
        <v/>
      </c>
      <c r="T17" s="177" t="str">
        <f t="shared" si="9"/>
        <v/>
      </c>
      <c r="U17" s="167" t="str">
        <f t="shared" ref="U17:U59" si="12">IF($D17&gt;10,"drp ",IF(ISNUMBER(T17),IF(T17&gt;=75,"Pass","Fail"),T17))</f>
        <v/>
      </c>
      <c r="V17" s="168"/>
    </row>
    <row r="18" spans="1:22" ht="11.25" customHeight="1">
      <c r="A18" s="169" t="str">
        <f t="shared" si="10"/>
        <v/>
      </c>
      <c r="B18" s="153">
        <f>Midterm!B18</f>
        <v>0</v>
      </c>
      <c r="C18" s="170"/>
      <c r="D18" s="155">
        <v>3.3</v>
      </c>
      <c r="E18" s="156">
        <f t="shared" si="2"/>
        <v>7.6428571428571397</v>
      </c>
      <c r="F18" s="155"/>
      <c r="G18" s="155">
        <v>60</v>
      </c>
      <c r="H18" s="171">
        <v>12</v>
      </c>
      <c r="I18" s="158">
        <f t="shared" si="3"/>
        <v>80</v>
      </c>
      <c r="J18" s="171"/>
      <c r="K18" s="159">
        <f t="shared" si="4"/>
        <v>50</v>
      </c>
      <c r="L18" s="172">
        <f t="shared" si="11"/>
        <v>13</v>
      </c>
      <c r="M18" s="173">
        <v>69.5</v>
      </c>
      <c r="N18" s="174">
        <f>IF($O$12="0"," ",Transmute)</f>
        <v>84.75</v>
      </c>
      <c r="O18" s="162">
        <f t="shared" si="5"/>
        <v>20.85</v>
      </c>
      <c r="P18" s="163">
        <v>96</v>
      </c>
      <c r="Q18" s="158">
        <f t="shared" si="6"/>
        <v>98</v>
      </c>
      <c r="R18" s="179">
        <f t="shared" si="7"/>
        <v>39.200000000000003</v>
      </c>
      <c r="S18" s="176" t="str">
        <f t="shared" si="8"/>
        <v/>
      </c>
      <c r="T18" s="177" t="str">
        <f t="shared" si="9"/>
        <v/>
      </c>
      <c r="U18" s="167" t="str">
        <f t="shared" si="12"/>
        <v/>
      </c>
      <c r="V18" s="168"/>
    </row>
    <row r="19" spans="1:22" ht="11.25" customHeight="1">
      <c r="A19" s="169" t="str">
        <f t="shared" si="10"/>
        <v/>
      </c>
      <c r="B19" s="153">
        <f>Midterm!B19</f>
        <v>0</v>
      </c>
      <c r="C19" s="170"/>
      <c r="D19" s="155">
        <v>0</v>
      </c>
      <c r="E19" s="156">
        <f t="shared" si="2"/>
        <v>10</v>
      </c>
      <c r="F19" s="155"/>
      <c r="G19" s="155">
        <v>60</v>
      </c>
      <c r="H19" s="171">
        <v>8</v>
      </c>
      <c r="I19" s="158">
        <f t="shared" si="3"/>
        <v>70</v>
      </c>
      <c r="J19" s="171">
        <v>14</v>
      </c>
      <c r="K19" s="159">
        <f t="shared" si="4"/>
        <v>85</v>
      </c>
      <c r="L19" s="172">
        <f t="shared" si="11"/>
        <v>15.5</v>
      </c>
      <c r="M19" s="173">
        <v>87</v>
      </c>
      <c r="N19" s="174">
        <f>IF($O$12="0"," ",Transmute)</f>
        <v>93.5</v>
      </c>
      <c r="O19" s="162">
        <f t="shared" si="5"/>
        <v>26.1</v>
      </c>
      <c r="P19" s="163">
        <v>94.285714285714306</v>
      </c>
      <c r="Q19" s="158">
        <f t="shared" si="6"/>
        <v>97.142857142857196</v>
      </c>
      <c r="R19" s="178">
        <f t="shared" si="7"/>
        <v>38.857142857142897</v>
      </c>
      <c r="S19" s="176" t="str">
        <f t="shared" si="8"/>
        <v/>
      </c>
      <c r="T19" s="177" t="str">
        <f t="shared" si="9"/>
        <v/>
      </c>
      <c r="U19" s="167" t="str">
        <f t="shared" si="12"/>
        <v/>
      </c>
      <c r="V19" s="168"/>
    </row>
    <row r="20" spans="1:22" ht="11.25" customHeight="1">
      <c r="A20" s="169" t="str">
        <f t="shared" si="10"/>
        <v/>
      </c>
      <c r="B20" s="153">
        <f>Midterm!B20</f>
        <v>0</v>
      </c>
      <c r="C20" s="170"/>
      <c r="D20" s="155">
        <v>0</v>
      </c>
      <c r="E20" s="156">
        <f t="shared" si="2"/>
        <v>10</v>
      </c>
      <c r="F20" s="155"/>
      <c r="G20" s="155">
        <v>60</v>
      </c>
      <c r="H20" s="171">
        <v>10</v>
      </c>
      <c r="I20" s="158">
        <f t="shared" si="3"/>
        <v>75</v>
      </c>
      <c r="J20" s="171">
        <v>13</v>
      </c>
      <c r="K20" s="159">
        <f t="shared" si="4"/>
        <v>82.5</v>
      </c>
      <c r="L20" s="172">
        <f t="shared" si="11"/>
        <v>15.75</v>
      </c>
      <c r="M20" s="173">
        <v>89</v>
      </c>
      <c r="N20" s="174">
        <f>IF($O$12="0"," ",Transmute)</f>
        <v>94.5</v>
      </c>
      <c r="O20" s="162">
        <f t="shared" si="5"/>
        <v>26.7</v>
      </c>
      <c r="P20" s="163">
        <v>98</v>
      </c>
      <c r="Q20" s="158">
        <f t="shared" si="6"/>
        <v>99</v>
      </c>
      <c r="R20" s="179">
        <f t="shared" si="7"/>
        <v>39.6</v>
      </c>
      <c r="S20" s="176" t="str">
        <f t="shared" si="8"/>
        <v/>
      </c>
      <c r="T20" s="177" t="str">
        <f t="shared" si="9"/>
        <v/>
      </c>
      <c r="U20" s="167" t="str">
        <f t="shared" si="12"/>
        <v/>
      </c>
      <c r="V20" s="168"/>
    </row>
    <row r="21" spans="1:22" ht="11.25" customHeight="1">
      <c r="A21" s="169" t="str">
        <f t="shared" si="10"/>
        <v/>
      </c>
      <c r="B21" s="153">
        <f>Midterm!B21</f>
        <v>0</v>
      </c>
      <c r="C21" s="170"/>
      <c r="D21" s="155">
        <v>0.3</v>
      </c>
      <c r="E21" s="156">
        <f t="shared" si="2"/>
        <v>9.7857142857142794</v>
      </c>
      <c r="F21" s="155"/>
      <c r="G21" s="155">
        <v>60</v>
      </c>
      <c r="H21" s="171">
        <v>13</v>
      </c>
      <c r="I21" s="158">
        <f t="shared" si="3"/>
        <v>82.5</v>
      </c>
      <c r="J21" s="171">
        <v>13</v>
      </c>
      <c r="K21" s="159">
        <f t="shared" si="4"/>
        <v>82.5</v>
      </c>
      <c r="L21" s="172">
        <f t="shared" si="11"/>
        <v>16.5</v>
      </c>
      <c r="M21" s="173">
        <v>92</v>
      </c>
      <c r="N21" s="174">
        <f>IF($O$12="0"," ",Transmute)</f>
        <v>96</v>
      </c>
      <c r="O21" s="162">
        <f t="shared" si="5"/>
        <v>27.6</v>
      </c>
      <c r="P21" s="163">
        <v>98.285714285714306</v>
      </c>
      <c r="Q21" s="158">
        <f t="shared" si="6"/>
        <v>99.142857142857196</v>
      </c>
      <c r="R21" s="178">
        <f t="shared" si="7"/>
        <v>39.657142857142901</v>
      </c>
      <c r="S21" s="176" t="str">
        <f t="shared" si="8"/>
        <v/>
      </c>
      <c r="T21" s="177" t="str">
        <f t="shared" si="9"/>
        <v/>
      </c>
      <c r="U21" s="167" t="str">
        <f t="shared" si="12"/>
        <v/>
      </c>
      <c r="V21" s="168"/>
    </row>
    <row r="22" spans="1:22" ht="11.25" customHeight="1">
      <c r="A22" s="169" t="str">
        <f t="shared" si="10"/>
        <v/>
      </c>
      <c r="B22" s="153">
        <f>Midterm!B22</f>
        <v>0</v>
      </c>
      <c r="C22" s="170"/>
      <c r="D22" s="155">
        <v>1</v>
      </c>
      <c r="E22" s="156">
        <f t="shared" si="2"/>
        <v>9.28571428571429</v>
      </c>
      <c r="F22" s="155"/>
      <c r="G22" s="155">
        <v>60</v>
      </c>
      <c r="H22" s="171">
        <v>8</v>
      </c>
      <c r="I22" s="158">
        <f t="shared" si="3"/>
        <v>70</v>
      </c>
      <c r="J22" s="171">
        <v>15</v>
      </c>
      <c r="K22" s="159">
        <f t="shared" si="4"/>
        <v>87.5</v>
      </c>
      <c r="L22" s="172">
        <f t="shared" si="11"/>
        <v>15.75</v>
      </c>
      <c r="M22" s="173">
        <v>68</v>
      </c>
      <c r="N22" s="174">
        <f>IF($O$12="0"," ",Transmute)</f>
        <v>84</v>
      </c>
      <c r="O22" s="162">
        <f t="shared" si="5"/>
        <v>20.399999999999999</v>
      </c>
      <c r="P22" s="163">
        <v>97.142857142857096</v>
      </c>
      <c r="Q22" s="158">
        <f t="shared" si="6"/>
        <v>98.571428571428598</v>
      </c>
      <c r="R22" s="178">
        <f t="shared" si="7"/>
        <v>39.428571428571402</v>
      </c>
      <c r="S22" s="176" t="str">
        <f t="shared" si="8"/>
        <v/>
      </c>
      <c r="T22" s="177" t="str">
        <f t="shared" si="9"/>
        <v/>
      </c>
      <c r="U22" s="167" t="str">
        <f t="shared" si="12"/>
        <v/>
      </c>
      <c r="V22" s="168"/>
    </row>
    <row r="23" spans="1:22" ht="11.25" customHeight="1">
      <c r="A23" s="169" t="str">
        <f t="shared" si="10"/>
        <v/>
      </c>
      <c r="B23" s="153">
        <f>Midterm!B23</f>
        <v>0</v>
      </c>
      <c r="C23" s="170"/>
      <c r="D23" s="155">
        <v>0</v>
      </c>
      <c r="E23" s="156">
        <f t="shared" si="2"/>
        <v>10</v>
      </c>
      <c r="F23" s="155"/>
      <c r="G23" s="155">
        <v>60</v>
      </c>
      <c r="H23" s="171">
        <v>14</v>
      </c>
      <c r="I23" s="158">
        <f t="shared" si="3"/>
        <v>85</v>
      </c>
      <c r="J23" s="171">
        <v>15</v>
      </c>
      <c r="K23" s="159">
        <f t="shared" si="4"/>
        <v>87.5</v>
      </c>
      <c r="L23" s="172">
        <f t="shared" si="11"/>
        <v>17.25</v>
      </c>
      <c r="M23" s="173">
        <v>89</v>
      </c>
      <c r="N23" s="174">
        <f>IF($O$12="0"," ",Transmute)</f>
        <v>94.5</v>
      </c>
      <c r="O23" s="162">
        <f t="shared" si="5"/>
        <v>26.7</v>
      </c>
      <c r="P23" s="163">
        <v>98</v>
      </c>
      <c r="Q23" s="158">
        <f t="shared" si="6"/>
        <v>99</v>
      </c>
      <c r="R23" s="178">
        <f t="shared" si="7"/>
        <v>39.6</v>
      </c>
      <c r="S23" s="176" t="str">
        <f t="shared" si="8"/>
        <v/>
      </c>
      <c r="T23" s="177" t="str">
        <f t="shared" si="9"/>
        <v/>
      </c>
      <c r="U23" s="167" t="str">
        <f t="shared" si="12"/>
        <v/>
      </c>
      <c r="V23" s="168"/>
    </row>
    <row r="24" spans="1:22" ht="11.25" customHeight="1">
      <c r="A24" s="169" t="str">
        <f t="shared" si="10"/>
        <v/>
      </c>
      <c r="B24" s="153">
        <f>Midterm!B24</f>
        <v>0</v>
      </c>
      <c r="C24" s="170"/>
      <c r="D24" s="155">
        <v>0.3</v>
      </c>
      <c r="E24" s="156">
        <f t="shared" si="2"/>
        <v>9.7857142857142794</v>
      </c>
      <c r="F24" s="155"/>
      <c r="G24" s="155">
        <v>60</v>
      </c>
      <c r="H24" s="171">
        <v>12</v>
      </c>
      <c r="I24" s="158">
        <f t="shared" si="3"/>
        <v>80</v>
      </c>
      <c r="J24" s="171">
        <v>15</v>
      </c>
      <c r="K24" s="159">
        <f t="shared" si="4"/>
        <v>87.5</v>
      </c>
      <c r="L24" s="172">
        <f t="shared" si="11"/>
        <v>16.75</v>
      </c>
      <c r="M24" s="173">
        <v>87</v>
      </c>
      <c r="N24" s="174">
        <f>IF($O$12="0"," ",Transmute)</f>
        <v>93.5</v>
      </c>
      <c r="O24" s="162">
        <f t="shared" si="5"/>
        <v>26.1</v>
      </c>
      <c r="P24" s="163">
        <v>94.285714285714306</v>
      </c>
      <c r="Q24" s="158">
        <f t="shared" si="6"/>
        <v>97.142857142857196</v>
      </c>
      <c r="R24" s="178">
        <f t="shared" si="7"/>
        <v>38.857142857142897</v>
      </c>
      <c r="S24" s="176" t="str">
        <f t="shared" si="8"/>
        <v/>
      </c>
      <c r="T24" s="177" t="str">
        <f t="shared" si="9"/>
        <v/>
      </c>
      <c r="U24" s="167" t="str">
        <f t="shared" si="12"/>
        <v/>
      </c>
      <c r="V24" s="168"/>
    </row>
    <row r="25" spans="1:22" ht="11.25" customHeight="1">
      <c r="A25" s="169" t="str">
        <f t="shared" si="10"/>
        <v/>
      </c>
      <c r="B25" s="153">
        <f>Midterm!B25</f>
        <v>0</v>
      </c>
      <c r="C25" s="170"/>
      <c r="D25" s="155">
        <v>0.3</v>
      </c>
      <c r="E25" s="156">
        <f t="shared" si="2"/>
        <v>9.7857142857142794</v>
      </c>
      <c r="F25" s="155"/>
      <c r="G25" s="155">
        <v>60</v>
      </c>
      <c r="H25" s="171">
        <v>8</v>
      </c>
      <c r="I25" s="158">
        <f t="shared" si="3"/>
        <v>70</v>
      </c>
      <c r="J25" s="171">
        <v>15</v>
      </c>
      <c r="K25" s="159">
        <f t="shared" si="4"/>
        <v>87.5</v>
      </c>
      <c r="L25" s="172">
        <f t="shared" si="11"/>
        <v>15.75</v>
      </c>
      <c r="M25" s="173">
        <v>90</v>
      </c>
      <c r="N25" s="174">
        <f>IF($O$12="0"," ",Transmute)</f>
        <v>95</v>
      </c>
      <c r="O25" s="162">
        <f t="shared" si="5"/>
        <v>27</v>
      </c>
      <c r="P25" s="163">
        <v>97.142857142857096</v>
      </c>
      <c r="Q25" s="158">
        <f t="shared" si="6"/>
        <v>98.571428571428598</v>
      </c>
      <c r="R25" s="178">
        <f t="shared" si="7"/>
        <v>39.428571428571402</v>
      </c>
      <c r="S25" s="176" t="str">
        <f t="shared" si="8"/>
        <v/>
      </c>
      <c r="T25" s="177" t="str">
        <f t="shared" si="9"/>
        <v/>
      </c>
      <c r="U25" s="167" t="str">
        <f t="shared" si="12"/>
        <v/>
      </c>
      <c r="V25" s="168"/>
    </row>
    <row r="26" spans="1:22" ht="11.25" customHeight="1">
      <c r="A26" s="169" t="str">
        <f t="shared" si="10"/>
        <v/>
      </c>
      <c r="B26" s="153">
        <f>Midterm!B26</f>
        <v>0</v>
      </c>
      <c r="C26" s="170"/>
      <c r="D26" s="155">
        <v>0.3</v>
      </c>
      <c r="E26" s="156">
        <f t="shared" si="2"/>
        <v>9.7857142857142794</v>
      </c>
      <c r="F26" s="155"/>
      <c r="G26" s="155">
        <v>60</v>
      </c>
      <c r="H26" s="171">
        <v>10</v>
      </c>
      <c r="I26" s="158">
        <f t="shared" si="3"/>
        <v>75</v>
      </c>
      <c r="J26" s="171">
        <v>15</v>
      </c>
      <c r="K26" s="159">
        <f t="shared" si="4"/>
        <v>87.5</v>
      </c>
      <c r="L26" s="172">
        <f t="shared" si="11"/>
        <v>16.25</v>
      </c>
      <c r="M26" s="173">
        <v>92.5</v>
      </c>
      <c r="N26" s="174">
        <f>IF($O$12="0"," ",Transmute)</f>
        <v>96.25</v>
      </c>
      <c r="O26" s="162">
        <f t="shared" si="5"/>
        <v>27.75</v>
      </c>
      <c r="P26" s="163">
        <v>94.285714285714306</v>
      </c>
      <c r="Q26" s="158">
        <f t="shared" si="6"/>
        <v>97.142857142857196</v>
      </c>
      <c r="R26" s="178">
        <f t="shared" si="7"/>
        <v>38.857142857142897</v>
      </c>
      <c r="S26" s="176" t="str">
        <f t="shared" si="8"/>
        <v/>
      </c>
      <c r="T26" s="177" t="str">
        <f t="shared" si="9"/>
        <v/>
      </c>
      <c r="U26" s="167" t="str">
        <f t="shared" si="12"/>
        <v/>
      </c>
      <c r="V26" s="168"/>
    </row>
    <row r="27" spans="1:22" ht="11.25" customHeight="1">
      <c r="A27" s="169" t="str">
        <f t="shared" si="10"/>
        <v/>
      </c>
      <c r="B27" s="153">
        <f>Midterm!B27</f>
        <v>0</v>
      </c>
      <c r="C27" s="170"/>
      <c r="D27" s="155">
        <v>0</v>
      </c>
      <c r="E27" s="156">
        <f t="shared" si="2"/>
        <v>10</v>
      </c>
      <c r="F27" s="155"/>
      <c r="G27" s="155">
        <v>60</v>
      </c>
      <c r="H27" s="171">
        <v>14</v>
      </c>
      <c r="I27" s="158">
        <f t="shared" si="3"/>
        <v>85</v>
      </c>
      <c r="J27" s="171">
        <v>14</v>
      </c>
      <c r="K27" s="159">
        <f t="shared" si="4"/>
        <v>85</v>
      </c>
      <c r="L27" s="172">
        <f t="shared" si="11"/>
        <v>17</v>
      </c>
      <c r="M27" s="173">
        <v>92</v>
      </c>
      <c r="N27" s="174">
        <f>IF($O$12="0"," ",Transmute)</f>
        <v>96</v>
      </c>
      <c r="O27" s="162">
        <f t="shared" si="5"/>
        <v>27.6</v>
      </c>
      <c r="P27" s="163">
        <v>98.285714285714306</v>
      </c>
      <c r="Q27" s="158">
        <f t="shared" si="6"/>
        <v>99.142857142857196</v>
      </c>
      <c r="R27" s="178">
        <f t="shared" si="7"/>
        <v>39.657142857142901</v>
      </c>
      <c r="S27" s="176" t="str">
        <f t="shared" si="8"/>
        <v/>
      </c>
      <c r="T27" s="177" t="str">
        <f t="shared" si="9"/>
        <v/>
      </c>
      <c r="U27" s="167" t="str">
        <f t="shared" si="12"/>
        <v/>
      </c>
      <c r="V27" s="168"/>
    </row>
    <row r="28" spans="1:22" ht="11.25" customHeight="1">
      <c r="A28" s="169" t="str">
        <f t="shared" si="10"/>
        <v/>
      </c>
      <c r="B28" s="153">
        <f>Midterm!B28</f>
        <v>0</v>
      </c>
      <c r="C28" s="170"/>
      <c r="D28" s="155">
        <v>0.3</v>
      </c>
      <c r="E28" s="156">
        <f t="shared" si="2"/>
        <v>9.7857142857142794</v>
      </c>
      <c r="F28" s="155"/>
      <c r="G28" s="155">
        <v>60</v>
      </c>
      <c r="H28" s="171">
        <v>11</v>
      </c>
      <c r="I28" s="158">
        <f t="shared" si="3"/>
        <v>77.5</v>
      </c>
      <c r="J28" s="171">
        <v>14</v>
      </c>
      <c r="K28" s="159">
        <f t="shared" si="4"/>
        <v>85</v>
      </c>
      <c r="L28" s="172">
        <f t="shared" si="11"/>
        <v>16.25</v>
      </c>
      <c r="M28" s="173">
        <v>89.5</v>
      </c>
      <c r="N28" s="174">
        <f>IF($O$12="0"," ",Transmute)</f>
        <v>94.75</v>
      </c>
      <c r="O28" s="162">
        <f t="shared" si="5"/>
        <v>26.85</v>
      </c>
      <c r="P28" s="163">
        <v>97.428571428571402</v>
      </c>
      <c r="Q28" s="158">
        <f t="shared" si="6"/>
        <v>98.714285714285694</v>
      </c>
      <c r="R28" s="178">
        <f t="shared" si="7"/>
        <v>39.485714285714302</v>
      </c>
      <c r="S28" s="176" t="str">
        <f t="shared" si="8"/>
        <v/>
      </c>
      <c r="T28" s="177" t="str">
        <f t="shared" si="9"/>
        <v/>
      </c>
      <c r="U28" s="167" t="str">
        <f t="shared" si="12"/>
        <v/>
      </c>
      <c r="V28" s="168"/>
    </row>
    <row r="29" spans="1:22" ht="11.25" customHeight="1">
      <c r="A29" s="169" t="str">
        <f t="shared" si="10"/>
        <v/>
      </c>
      <c r="B29" s="153">
        <f>Midterm!B29</f>
        <v>0</v>
      </c>
      <c r="C29" s="170"/>
      <c r="D29" s="155">
        <v>3</v>
      </c>
      <c r="E29" s="156">
        <f t="shared" si="2"/>
        <v>7.8571428571428603</v>
      </c>
      <c r="F29" s="180"/>
      <c r="G29" s="180">
        <v>60</v>
      </c>
      <c r="H29" s="181">
        <v>11</v>
      </c>
      <c r="I29" s="158">
        <f t="shared" si="3"/>
        <v>77.5</v>
      </c>
      <c r="J29" s="171">
        <v>12</v>
      </c>
      <c r="K29" s="159">
        <f t="shared" si="4"/>
        <v>80</v>
      </c>
      <c r="L29" s="172">
        <f t="shared" si="11"/>
        <v>15.75</v>
      </c>
      <c r="M29" s="173">
        <v>69.5</v>
      </c>
      <c r="N29" s="174">
        <f>IF($O$12="0"," ",Transmute)</f>
        <v>84.75</v>
      </c>
      <c r="O29" s="162">
        <f t="shared" si="5"/>
        <v>20.85</v>
      </c>
      <c r="P29" s="163">
        <v>96.857142857142904</v>
      </c>
      <c r="Q29" s="158">
        <f t="shared" si="6"/>
        <v>98.428571428571402</v>
      </c>
      <c r="R29" s="178">
        <f t="shared" si="7"/>
        <v>39.371428571428602</v>
      </c>
      <c r="S29" s="176" t="str">
        <f t="shared" si="8"/>
        <v/>
      </c>
      <c r="T29" s="177" t="str">
        <f t="shared" si="9"/>
        <v/>
      </c>
      <c r="U29" s="167" t="str">
        <f t="shared" si="12"/>
        <v/>
      </c>
      <c r="V29" s="168"/>
    </row>
    <row r="30" spans="1:22" ht="11.25" customHeight="1">
      <c r="A30" s="169" t="str">
        <f t="shared" si="10"/>
        <v/>
      </c>
      <c r="B30" s="182">
        <f>Midterm!B30</f>
        <v>0</v>
      </c>
      <c r="C30" s="183"/>
      <c r="D30" s="180">
        <v>1</v>
      </c>
      <c r="E30" s="156">
        <f t="shared" si="2"/>
        <v>9.28571428571429</v>
      </c>
      <c r="F30" s="180"/>
      <c r="G30" s="180">
        <v>60</v>
      </c>
      <c r="H30" s="181">
        <v>0</v>
      </c>
      <c r="I30" s="158">
        <f t="shared" si="3"/>
        <v>50</v>
      </c>
      <c r="J30" s="171">
        <v>11</v>
      </c>
      <c r="K30" s="159">
        <f t="shared" si="4"/>
        <v>77.5</v>
      </c>
      <c r="L30" s="172">
        <f t="shared" si="11"/>
        <v>12.75</v>
      </c>
      <c r="M30" s="173">
        <v>90</v>
      </c>
      <c r="N30" s="174">
        <f>IF($O$12="0"," ",Transmute)</f>
        <v>95</v>
      </c>
      <c r="O30" s="162">
        <f t="shared" si="5"/>
        <v>27</v>
      </c>
      <c r="P30" s="163">
        <v>97.142857142857096</v>
      </c>
      <c r="Q30" s="158">
        <f t="shared" si="6"/>
        <v>98.571428571428598</v>
      </c>
      <c r="R30" s="178">
        <f t="shared" si="7"/>
        <v>39.428571428571402</v>
      </c>
      <c r="S30" s="176" t="str">
        <f t="shared" si="8"/>
        <v/>
      </c>
      <c r="T30" s="177" t="str">
        <f t="shared" si="9"/>
        <v/>
      </c>
      <c r="U30" s="167" t="str">
        <f t="shared" si="12"/>
        <v/>
      </c>
      <c r="V30" s="168"/>
    </row>
    <row r="31" spans="1:22" ht="11.25" customHeight="1">
      <c r="A31" s="169" t="str">
        <f t="shared" si="10"/>
        <v/>
      </c>
      <c r="B31" s="182">
        <f>Midterm!B31</f>
        <v>0</v>
      </c>
      <c r="C31" s="183"/>
      <c r="D31" s="180">
        <v>0</v>
      </c>
      <c r="E31" s="156">
        <f t="shared" si="2"/>
        <v>10</v>
      </c>
      <c r="F31" s="180"/>
      <c r="G31" s="180">
        <v>60</v>
      </c>
      <c r="H31" s="181">
        <v>11</v>
      </c>
      <c r="I31" s="158">
        <f t="shared" si="3"/>
        <v>77.5</v>
      </c>
      <c r="J31" s="171">
        <v>13</v>
      </c>
      <c r="K31" s="159">
        <f t="shared" si="4"/>
        <v>82.5</v>
      </c>
      <c r="L31" s="172">
        <f t="shared" ref="L31:L34" si="13">IF($L$12=0,0,AVERAGE(I31,K31)*$L$12)</f>
        <v>16</v>
      </c>
      <c r="M31" s="173">
        <v>92.5</v>
      </c>
      <c r="N31" s="174">
        <f>IF($O$12="0"," ",Transmute)</f>
        <v>96.25</v>
      </c>
      <c r="O31" s="162">
        <f t="shared" si="5"/>
        <v>27.75</v>
      </c>
      <c r="P31" s="163">
        <v>98.571428571428598</v>
      </c>
      <c r="Q31" s="158">
        <f t="shared" si="6"/>
        <v>99.285714285714306</v>
      </c>
      <c r="R31" s="178">
        <f t="shared" ref="R31:R33" si="14">Q31*$R$12</f>
        <v>39.714285714285701</v>
      </c>
      <c r="S31" s="176" t="str">
        <f t="shared" ref="S31:S33" si="15">IF(ISNUMBER(T31),VLOOKUP(T31,EQTable,2),T31)</f>
        <v/>
      </c>
      <c r="T31" s="177" t="str">
        <f t="shared" si="9"/>
        <v/>
      </c>
      <c r="U31" s="167" t="str">
        <f t="shared" si="12"/>
        <v/>
      </c>
      <c r="V31" s="184"/>
    </row>
    <row r="32" spans="1:22" ht="11.25" customHeight="1">
      <c r="A32" s="169" t="str">
        <f t="shared" si="10"/>
        <v/>
      </c>
      <c r="B32" s="182">
        <f>Midterm!B32</f>
        <v>0</v>
      </c>
      <c r="C32" s="183"/>
      <c r="D32" s="180">
        <v>1</v>
      </c>
      <c r="E32" s="156">
        <f t="shared" si="2"/>
        <v>9.28571428571429</v>
      </c>
      <c r="F32" s="180"/>
      <c r="G32" s="180">
        <v>60</v>
      </c>
      <c r="H32" s="181">
        <v>12</v>
      </c>
      <c r="I32" s="158">
        <f t="shared" si="3"/>
        <v>80</v>
      </c>
      <c r="J32" s="171">
        <v>14</v>
      </c>
      <c r="K32" s="159">
        <f t="shared" si="4"/>
        <v>85</v>
      </c>
      <c r="L32" s="172">
        <f t="shared" si="13"/>
        <v>16.5</v>
      </c>
      <c r="M32" s="173">
        <v>87</v>
      </c>
      <c r="N32" s="174">
        <f>IF($O$12="0"," ",Transmute)</f>
        <v>93.5</v>
      </c>
      <c r="O32" s="162">
        <f t="shared" si="5"/>
        <v>26.1</v>
      </c>
      <c r="P32" s="163">
        <v>94.285714285714306</v>
      </c>
      <c r="Q32" s="158">
        <f t="shared" si="6"/>
        <v>97.142857142857196</v>
      </c>
      <c r="R32" s="178">
        <f t="shared" si="14"/>
        <v>38.857142857142897</v>
      </c>
      <c r="S32" s="176" t="str">
        <f t="shared" si="15"/>
        <v/>
      </c>
      <c r="T32" s="177" t="str">
        <f t="shared" si="9"/>
        <v/>
      </c>
      <c r="U32" s="167" t="str">
        <f t="shared" si="12"/>
        <v/>
      </c>
      <c r="V32" s="184"/>
    </row>
    <row r="33" spans="1:22" ht="11.25" customHeight="1">
      <c r="A33" s="169" t="str">
        <f t="shared" si="10"/>
        <v/>
      </c>
      <c r="B33" s="182">
        <f>Midterm!B33</f>
        <v>0</v>
      </c>
      <c r="C33" s="183"/>
      <c r="D33" s="180">
        <v>2</v>
      </c>
      <c r="E33" s="156">
        <f t="shared" si="2"/>
        <v>8.5714285714285694</v>
      </c>
      <c r="F33" s="180"/>
      <c r="G33" s="180">
        <v>60</v>
      </c>
      <c r="H33" s="181">
        <v>13</v>
      </c>
      <c r="I33" s="158">
        <f t="shared" si="3"/>
        <v>82.5</v>
      </c>
      <c r="J33" s="171">
        <v>12</v>
      </c>
      <c r="K33" s="159">
        <f t="shared" si="4"/>
        <v>80</v>
      </c>
      <c r="L33" s="172">
        <f t="shared" si="13"/>
        <v>16.25</v>
      </c>
      <c r="M33" s="173">
        <v>92.5</v>
      </c>
      <c r="N33" s="174">
        <f>IF($O$12="0"," ",Transmute)</f>
        <v>96.25</v>
      </c>
      <c r="O33" s="162">
        <f t="shared" si="5"/>
        <v>27.75</v>
      </c>
      <c r="P33" s="163">
        <v>97.142857142857096</v>
      </c>
      <c r="Q33" s="158">
        <f t="shared" si="6"/>
        <v>98.571428571428598</v>
      </c>
      <c r="R33" s="178">
        <f t="shared" si="14"/>
        <v>39.428571428571402</v>
      </c>
      <c r="S33" s="176" t="str">
        <f t="shared" si="15"/>
        <v/>
      </c>
      <c r="T33" s="177" t="str">
        <f t="shared" si="9"/>
        <v/>
      </c>
      <c r="U33" s="167" t="str">
        <f t="shared" si="12"/>
        <v/>
      </c>
      <c r="V33" s="184"/>
    </row>
    <row r="34" spans="1:22" ht="11.25" customHeight="1">
      <c r="A34" s="169" t="str">
        <f t="shared" si="10"/>
        <v/>
      </c>
      <c r="B34" s="182">
        <f>Midterm!B34</f>
        <v>0</v>
      </c>
      <c r="C34" s="183"/>
      <c r="D34" s="180">
        <v>1</v>
      </c>
      <c r="E34" s="156">
        <f t="shared" si="2"/>
        <v>9.28571428571429</v>
      </c>
      <c r="F34" s="180"/>
      <c r="G34" s="180">
        <v>60</v>
      </c>
      <c r="H34" s="181">
        <v>12</v>
      </c>
      <c r="I34" s="158">
        <f t="shared" si="3"/>
        <v>80</v>
      </c>
      <c r="J34" s="171">
        <v>12</v>
      </c>
      <c r="K34" s="159">
        <f t="shared" si="4"/>
        <v>80</v>
      </c>
      <c r="L34" s="172">
        <f t="shared" si="13"/>
        <v>16</v>
      </c>
      <c r="M34" s="173">
        <v>92</v>
      </c>
      <c r="N34" s="174">
        <f>IF($O$12="0"," ",Transmute)</f>
        <v>96</v>
      </c>
      <c r="O34" s="162">
        <f t="shared" si="5"/>
        <v>27.6</v>
      </c>
      <c r="P34" s="163">
        <v>98.285714285714306</v>
      </c>
      <c r="Q34" s="158">
        <f t="shared" si="6"/>
        <v>99.142857142857196</v>
      </c>
      <c r="R34" s="178">
        <f t="shared" si="7"/>
        <v>39.657142857142901</v>
      </c>
      <c r="S34" s="176" t="str">
        <f t="shared" si="8"/>
        <v/>
      </c>
      <c r="T34" s="177" t="str">
        <f t="shared" si="9"/>
        <v/>
      </c>
      <c r="U34" s="167" t="str">
        <f t="shared" si="12"/>
        <v/>
      </c>
      <c r="V34" s="184"/>
    </row>
    <row r="35" spans="1:22" ht="11.25" customHeight="1">
      <c r="A35" s="169" t="str">
        <f t="shared" si="10"/>
        <v/>
      </c>
      <c r="B35" s="182">
        <f>Midterm!B35</f>
        <v>0</v>
      </c>
      <c r="C35" s="183"/>
      <c r="D35" s="180">
        <v>0</v>
      </c>
      <c r="E35" s="156">
        <f t="shared" si="2"/>
        <v>10</v>
      </c>
      <c r="F35" s="180"/>
      <c r="G35" s="180">
        <v>60</v>
      </c>
      <c r="H35" s="181">
        <v>13</v>
      </c>
      <c r="I35" s="158">
        <f t="shared" si="3"/>
        <v>82.5</v>
      </c>
      <c r="J35" s="171">
        <v>14</v>
      </c>
      <c r="K35" s="159">
        <f t="shared" si="4"/>
        <v>85</v>
      </c>
      <c r="L35" s="172">
        <f t="shared" si="11"/>
        <v>16.75</v>
      </c>
      <c r="M35" s="173">
        <v>92.5</v>
      </c>
      <c r="N35" s="174">
        <f>IF($O$12="0"," ",Transmute)</f>
        <v>96.25</v>
      </c>
      <c r="O35" s="162">
        <f t="shared" si="5"/>
        <v>27.75</v>
      </c>
      <c r="P35" s="163">
        <v>98.571428571428598</v>
      </c>
      <c r="Q35" s="158">
        <f t="shared" si="6"/>
        <v>99.285714285714306</v>
      </c>
      <c r="R35" s="178">
        <f t="shared" si="7"/>
        <v>39.714285714285701</v>
      </c>
      <c r="S35" s="176" t="str">
        <f t="shared" si="8"/>
        <v/>
      </c>
      <c r="T35" s="177" t="str">
        <f t="shared" si="9"/>
        <v/>
      </c>
      <c r="U35" s="167" t="str">
        <f t="shared" si="12"/>
        <v/>
      </c>
      <c r="V35" s="184"/>
    </row>
    <row r="36" spans="1:22" ht="11.25" customHeight="1">
      <c r="A36" s="169" t="str">
        <f t="shared" si="10"/>
        <v/>
      </c>
      <c r="B36" s="182">
        <f>Midterm!B36</f>
        <v>0</v>
      </c>
      <c r="C36" s="183"/>
      <c r="D36" s="180">
        <v>1</v>
      </c>
      <c r="E36" s="156">
        <f t="shared" si="2"/>
        <v>9.28571428571429</v>
      </c>
      <c r="F36" s="180"/>
      <c r="G36" s="180">
        <v>60</v>
      </c>
      <c r="H36" s="181">
        <v>14</v>
      </c>
      <c r="I36" s="158">
        <f t="shared" si="3"/>
        <v>85</v>
      </c>
      <c r="J36" s="171">
        <v>14</v>
      </c>
      <c r="K36" s="159">
        <f t="shared" si="4"/>
        <v>85</v>
      </c>
      <c r="L36" s="172">
        <f t="shared" si="11"/>
        <v>17</v>
      </c>
      <c r="M36" s="173">
        <v>91.5</v>
      </c>
      <c r="N36" s="174">
        <f>IF($O$12="0"," ",Transmute)</f>
        <v>95.75</v>
      </c>
      <c r="O36" s="162">
        <f t="shared" si="5"/>
        <v>27.45</v>
      </c>
      <c r="P36" s="163">
        <v>98.571428571428598</v>
      </c>
      <c r="Q36" s="158">
        <f t="shared" si="6"/>
        <v>99.285714285714306</v>
      </c>
      <c r="R36" s="178">
        <f t="shared" si="7"/>
        <v>39.714285714285701</v>
      </c>
      <c r="S36" s="176" t="str">
        <f t="shared" si="8"/>
        <v/>
      </c>
      <c r="T36" s="177" t="str">
        <f t="shared" si="9"/>
        <v/>
      </c>
      <c r="U36" s="167" t="str">
        <f t="shared" si="12"/>
        <v/>
      </c>
      <c r="V36" s="184"/>
    </row>
    <row r="37" spans="1:22" ht="11.25" customHeight="1">
      <c r="A37" s="169" t="str">
        <f t="shared" si="10"/>
        <v/>
      </c>
      <c r="B37" s="182">
        <f>Midterm!B37</f>
        <v>0</v>
      </c>
      <c r="C37" s="183"/>
      <c r="D37" s="180">
        <v>0.3</v>
      </c>
      <c r="E37" s="156">
        <f t="shared" si="2"/>
        <v>9.7857142857142794</v>
      </c>
      <c r="F37" s="180"/>
      <c r="G37" s="180">
        <v>60</v>
      </c>
      <c r="H37" s="181">
        <v>9</v>
      </c>
      <c r="I37" s="158">
        <f t="shared" si="3"/>
        <v>72.5</v>
      </c>
      <c r="J37" s="171"/>
      <c r="K37" s="159">
        <f t="shared" si="4"/>
        <v>50</v>
      </c>
      <c r="L37" s="172">
        <f t="shared" si="11"/>
        <v>12.25</v>
      </c>
      <c r="M37" s="173">
        <v>87</v>
      </c>
      <c r="N37" s="174">
        <f>IF($O$12="0"," ",Transmute)</f>
        <v>93.5</v>
      </c>
      <c r="O37" s="162">
        <f t="shared" si="5"/>
        <v>26.1</v>
      </c>
      <c r="P37" s="163">
        <v>94.285714285714306</v>
      </c>
      <c r="Q37" s="158">
        <f t="shared" si="6"/>
        <v>97.142857142857196</v>
      </c>
      <c r="R37" s="178">
        <f t="shared" si="7"/>
        <v>38.857142857142897</v>
      </c>
      <c r="S37" s="176" t="str">
        <f t="shared" si="8"/>
        <v/>
      </c>
      <c r="T37" s="177" t="str">
        <f t="shared" si="9"/>
        <v/>
      </c>
      <c r="U37" s="167" t="str">
        <f t="shared" si="12"/>
        <v/>
      </c>
      <c r="V37" s="184"/>
    </row>
    <row r="38" spans="1:22" ht="11.25" customHeight="1">
      <c r="A38" s="169" t="str">
        <f t="shared" si="10"/>
        <v/>
      </c>
      <c r="B38" s="182">
        <f>Midterm!B38</f>
        <v>0</v>
      </c>
      <c r="C38" s="183"/>
      <c r="D38" s="180">
        <v>0</v>
      </c>
      <c r="E38" s="156">
        <f t="shared" si="2"/>
        <v>10</v>
      </c>
      <c r="F38" s="180"/>
      <c r="G38" s="180">
        <v>60</v>
      </c>
      <c r="H38" s="181">
        <v>12</v>
      </c>
      <c r="I38" s="158">
        <f t="shared" si="3"/>
        <v>80</v>
      </c>
      <c r="J38" s="171">
        <v>14</v>
      </c>
      <c r="K38" s="159">
        <f t="shared" si="4"/>
        <v>85</v>
      </c>
      <c r="L38" s="172">
        <f t="shared" si="11"/>
        <v>16.5</v>
      </c>
      <c r="M38" s="173">
        <v>91.5</v>
      </c>
      <c r="N38" s="174">
        <f>IF($O$12="0"," ",Transmute)</f>
        <v>95.75</v>
      </c>
      <c r="O38" s="162">
        <f t="shared" si="5"/>
        <v>27.45</v>
      </c>
      <c r="P38" s="163">
        <v>98.571428571428598</v>
      </c>
      <c r="Q38" s="158">
        <f t="shared" si="6"/>
        <v>99.285714285714306</v>
      </c>
      <c r="R38" s="178">
        <f t="shared" si="7"/>
        <v>39.714285714285701</v>
      </c>
      <c r="S38" s="176" t="str">
        <f t="shared" si="8"/>
        <v/>
      </c>
      <c r="T38" s="177" t="str">
        <f t="shared" si="9"/>
        <v/>
      </c>
      <c r="U38" s="167" t="str">
        <f t="shared" si="12"/>
        <v/>
      </c>
      <c r="V38" s="184"/>
    </row>
    <row r="39" spans="1:22" ht="11.25" customHeight="1">
      <c r="A39" s="169" t="str">
        <f t="shared" si="10"/>
        <v/>
      </c>
      <c r="B39" s="182">
        <f>Midterm!B39</f>
        <v>0</v>
      </c>
      <c r="C39" s="183"/>
      <c r="D39" s="180">
        <v>2</v>
      </c>
      <c r="E39" s="156">
        <f t="shared" si="2"/>
        <v>8.5714285714285694</v>
      </c>
      <c r="F39" s="180"/>
      <c r="G39" s="180">
        <v>60</v>
      </c>
      <c r="H39" s="181">
        <v>11</v>
      </c>
      <c r="I39" s="158">
        <f t="shared" si="3"/>
        <v>77.5</v>
      </c>
      <c r="J39" s="171">
        <v>14</v>
      </c>
      <c r="K39" s="159">
        <f t="shared" si="4"/>
        <v>85</v>
      </c>
      <c r="L39" s="172">
        <f t="shared" si="11"/>
        <v>16.25</v>
      </c>
      <c r="M39" s="173">
        <v>92</v>
      </c>
      <c r="N39" s="174">
        <f>IF($O$12="0"," ",Transmute)</f>
        <v>96</v>
      </c>
      <c r="O39" s="162">
        <f t="shared" si="5"/>
        <v>27.6</v>
      </c>
      <c r="P39" s="163">
        <v>98.285714285714306</v>
      </c>
      <c r="Q39" s="158">
        <f t="shared" si="6"/>
        <v>99.142857142857196</v>
      </c>
      <c r="R39" s="178">
        <f t="shared" si="7"/>
        <v>39.657142857142901</v>
      </c>
      <c r="S39" s="176" t="str">
        <f t="shared" si="8"/>
        <v/>
      </c>
      <c r="T39" s="177" t="str">
        <f t="shared" si="9"/>
        <v/>
      </c>
      <c r="U39" s="167" t="str">
        <f t="shared" si="12"/>
        <v/>
      </c>
      <c r="V39" s="184"/>
    </row>
    <row r="40" spans="1:22" ht="11.25" customHeight="1">
      <c r="A40" s="169" t="str">
        <f t="shared" si="10"/>
        <v/>
      </c>
      <c r="B40" s="182">
        <f>Midterm!B40</f>
        <v>0</v>
      </c>
      <c r="C40" s="183"/>
      <c r="D40" s="180">
        <v>1</v>
      </c>
      <c r="E40" s="156">
        <f t="shared" si="2"/>
        <v>9.28571428571429</v>
      </c>
      <c r="F40" s="180"/>
      <c r="G40" s="180">
        <v>60</v>
      </c>
      <c r="H40" s="181">
        <v>10</v>
      </c>
      <c r="I40" s="158">
        <f t="shared" si="3"/>
        <v>75</v>
      </c>
      <c r="J40" s="171">
        <v>14</v>
      </c>
      <c r="K40" s="159">
        <f t="shared" si="4"/>
        <v>85</v>
      </c>
      <c r="L40" s="172">
        <f t="shared" si="11"/>
        <v>16</v>
      </c>
      <c r="M40" s="173">
        <v>89.5</v>
      </c>
      <c r="N40" s="174">
        <f>IF($O$12="0"," ",Transmute)</f>
        <v>94.75</v>
      </c>
      <c r="O40" s="162">
        <f t="shared" si="5"/>
        <v>26.85</v>
      </c>
      <c r="P40" s="163">
        <v>96.857142857142904</v>
      </c>
      <c r="Q40" s="158">
        <f t="shared" si="6"/>
        <v>98.428571428571402</v>
      </c>
      <c r="R40" s="178">
        <f t="shared" si="7"/>
        <v>39.371428571428602</v>
      </c>
      <c r="S40" s="176" t="str">
        <f t="shared" si="8"/>
        <v/>
      </c>
      <c r="T40" s="177" t="str">
        <f t="shared" si="9"/>
        <v/>
      </c>
      <c r="U40" s="167" t="str">
        <f t="shared" si="12"/>
        <v/>
      </c>
      <c r="V40" s="184"/>
    </row>
    <row r="41" spans="1:22" ht="11.25" customHeight="1">
      <c r="A41" s="169" t="str">
        <f t="shared" si="10"/>
        <v/>
      </c>
      <c r="B41" s="182">
        <f>Midterm!B41</f>
        <v>0</v>
      </c>
      <c r="C41" s="183"/>
      <c r="D41" s="180">
        <v>0</v>
      </c>
      <c r="E41" s="156">
        <f t="shared" si="2"/>
        <v>10</v>
      </c>
      <c r="F41" s="180"/>
      <c r="G41" s="180">
        <v>60</v>
      </c>
      <c r="H41" s="181">
        <v>14</v>
      </c>
      <c r="I41" s="158">
        <f t="shared" si="3"/>
        <v>85</v>
      </c>
      <c r="J41" s="171">
        <v>14</v>
      </c>
      <c r="K41" s="159">
        <f t="shared" si="4"/>
        <v>85</v>
      </c>
      <c r="L41" s="172">
        <f t="shared" si="11"/>
        <v>17</v>
      </c>
      <c r="M41" s="173">
        <v>91.5</v>
      </c>
      <c r="N41" s="174">
        <f>IF($O$12="0"," ",Transmute)</f>
        <v>95.75</v>
      </c>
      <c r="O41" s="162">
        <f t="shared" si="5"/>
        <v>27.45</v>
      </c>
      <c r="P41" s="163">
        <v>96.571428571428598</v>
      </c>
      <c r="Q41" s="158">
        <f t="shared" si="6"/>
        <v>98.285714285714306</v>
      </c>
      <c r="R41" s="178">
        <f t="shared" si="7"/>
        <v>39.314285714285703</v>
      </c>
      <c r="S41" s="176" t="str">
        <f t="shared" si="8"/>
        <v/>
      </c>
      <c r="T41" s="177" t="str">
        <f t="shared" si="9"/>
        <v/>
      </c>
      <c r="U41" s="167" t="str">
        <f t="shared" si="12"/>
        <v/>
      </c>
      <c r="V41" s="184"/>
    </row>
    <row r="42" spans="1:22" ht="11.25" customHeight="1">
      <c r="A42" s="169" t="str">
        <f t="shared" si="10"/>
        <v/>
      </c>
      <c r="B42" s="182">
        <f>Midterm!B42</f>
        <v>0</v>
      </c>
      <c r="C42" s="183"/>
      <c r="D42" s="180">
        <v>2.2999999999999998</v>
      </c>
      <c r="E42" s="156">
        <f t="shared" si="2"/>
        <v>8.3571428571428594</v>
      </c>
      <c r="F42" s="180"/>
      <c r="G42" s="180">
        <v>60</v>
      </c>
      <c r="H42" s="181">
        <v>0</v>
      </c>
      <c r="I42" s="158">
        <f t="shared" si="3"/>
        <v>50</v>
      </c>
      <c r="J42" s="171">
        <v>14</v>
      </c>
      <c r="K42" s="159">
        <f t="shared" si="4"/>
        <v>85</v>
      </c>
      <c r="L42" s="172">
        <f t="shared" si="11"/>
        <v>13.5</v>
      </c>
      <c r="M42" s="173">
        <v>90</v>
      </c>
      <c r="N42" s="174">
        <f>IF($O$12="0"," ",Transmute)</f>
        <v>95</v>
      </c>
      <c r="O42" s="162">
        <f t="shared" si="5"/>
        <v>27</v>
      </c>
      <c r="P42" s="163">
        <v>97.142857142857096</v>
      </c>
      <c r="Q42" s="158">
        <f t="shared" si="6"/>
        <v>98.571428571428598</v>
      </c>
      <c r="R42" s="178">
        <f t="shared" si="7"/>
        <v>39.428571428571402</v>
      </c>
      <c r="S42" s="176" t="str">
        <f t="shared" si="8"/>
        <v/>
      </c>
      <c r="T42" s="177" t="str">
        <f t="shared" si="9"/>
        <v/>
      </c>
      <c r="U42" s="167" t="str">
        <f t="shared" si="12"/>
        <v/>
      </c>
      <c r="V42" s="184"/>
    </row>
    <row r="43" spans="1:22" ht="11.25" customHeight="1">
      <c r="A43" s="169" t="str">
        <f t="shared" si="10"/>
        <v/>
      </c>
      <c r="B43" s="182">
        <f>Midterm!B43</f>
        <v>0</v>
      </c>
      <c r="C43" s="183"/>
      <c r="D43" s="180">
        <v>0</v>
      </c>
      <c r="E43" s="156">
        <f t="shared" si="2"/>
        <v>10</v>
      </c>
      <c r="F43" s="180"/>
      <c r="G43" s="180">
        <v>60</v>
      </c>
      <c r="H43" s="181">
        <v>12</v>
      </c>
      <c r="I43" s="158">
        <f t="shared" si="3"/>
        <v>80</v>
      </c>
      <c r="J43" s="171">
        <v>15</v>
      </c>
      <c r="K43" s="159">
        <f t="shared" si="4"/>
        <v>87.5</v>
      </c>
      <c r="L43" s="172">
        <f t="shared" si="11"/>
        <v>16.75</v>
      </c>
      <c r="M43" s="173">
        <v>91.5</v>
      </c>
      <c r="N43" s="174">
        <f>IF($O$12="0"," ",Transmute)</f>
        <v>95.75</v>
      </c>
      <c r="O43" s="162">
        <f t="shared" si="5"/>
        <v>27.45</v>
      </c>
      <c r="P43" s="163">
        <v>96.571428571428598</v>
      </c>
      <c r="Q43" s="158">
        <f t="shared" si="6"/>
        <v>98.285714285714306</v>
      </c>
      <c r="R43" s="178">
        <f t="shared" si="7"/>
        <v>39.314285714285703</v>
      </c>
      <c r="S43" s="176" t="str">
        <f t="shared" si="8"/>
        <v/>
      </c>
      <c r="T43" s="177" t="str">
        <f t="shared" si="9"/>
        <v/>
      </c>
      <c r="U43" s="167" t="str">
        <f t="shared" si="12"/>
        <v/>
      </c>
      <c r="V43" s="184"/>
    </row>
    <row r="44" spans="1:22" ht="11.25" customHeight="1">
      <c r="A44" s="169" t="str">
        <f t="shared" ref="A44:A59" si="16">IF(ISNONTEXT(B44),"",A43+1)</f>
        <v/>
      </c>
      <c r="B44" s="182">
        <f>Midterm!B44</f>
        <v>0</v>
      </c>
      <c r="C44" s="183"/>
      <c r="D44" s="180">
        <v>0</v>
      </c>
      <c r="E44" s="156">
        <f t="shared" ref="E44:E59" si="17">(($D$12*$J$9)/$D$10)*($D$10-D44)</f>
        <v>10</v>
      </c>
      <c r="F44" s="180"/>
      <c r="G44" s="180">
        <v>60</v>
      </c>
      <c r="H44" s="181">
        <v>11</v>
      </c>
      <c r="I44" s="158">
        <f t="shared" si="3"/>
        <v>77.5</v>
      </c>
      <c r="J44" s="171">
        <v>15</v>
      </c>
      <c r="K44" s="159">
        <f t="shared" si="4"/>
        <v>87.5</v>
      </c>
      <c r="L44" s="172">
        <f t="shared" ref="L44:L59" si="18">IF($L$12=0,0,AVERAGE(I44,K44)*$L$12)</f>
        <v>16.5</v>
      </c>
      <c r="M44" s="173">
        <v>89</v>
      </c>
      <c r="N44" s="174">
        <f>IF($O$12="0"," ",Transmute)</f>
        <v>94.5</v>
      </c>
      <c r="O44" s="162">
        <f t="shared" ref="O44:O59" si="19">IF($O$12=0,0,M44*$O$12)</f>
        <v>26.7</v>
      </c>
      <c r="P44" s="163">
        <v>98</v>
      </c>
      <c r="Q44" s="158">
        <f t="shared" si="6"/>
        <v>99</v>
      </c>
      <c r="R44" s="178">
        <f t="shared" ref="R44:R59" si="20">Q44*$R$12</f>
        <v>39.6</v>
      </c>
      <c r="S44" s="176" t="str">
        <f t="shared" ref="S44:S59" si="21">IF(ISNUMBER(T44),VLOOKUP(T44,EQTable,2),T44)</f>
        <v/>
      </c>
      <c r="T44" s="177" t="str">
        <f t="shared" si="9"/>
        <v/>
      </c>
      <c r="U44" s="167" t="str">
        <f t="shared" si="12"/>
        <v/>
      </c>
      <c r="V44" s="184"/>
    </row>
    <row r="45" spans="1:22" ht="11.25" customHeight="1">
      <c r="A45" s="169" t="str">
        <f t="shared" si="16"/>
        <v/>
      </c>
      <c r="B45" s="182">
        <f>Midterm!B45</f>
        <v>0</v>
      </c>
      <c r="C45" s="183"/>
      <c r="D45" s="180">
        <v>1</v>
      </c>
      <c r="E45" s="156">
        <f t="shared" si="17"/>
        <v>9.28571428571429</v>
      </c>
      <c r="F45" s="180"/>
      <c r="G45" s="180">
        <v>60</v>
      </c>
      <c r="H45" s="181">
        <v>12</v>
      </c>
      <c r="I45" s="158">
        <f t="shared" si="3"/>
        <v>80</v>
      </c>
      <c r="J45" s="171">
        <v>13</v>
      </c>
      <c r="K45" s="159">
        <f t="shared" si="4"/>
        <v>82.5</v>
      </c>
      <c r="L45" s="172">
        <f t="shared" si="18"/>
        <v>16.25</v>
      </c>
      <c r="M45" s="173">
        <v>91.5</v>
      </c>
      <c r="N45" s="174">
        <f>IF($O$12="0"," ",Transmute)</f>
        <v>95.75</v>
      </c>
      <c r="O45" s="162">
        <f t="shared" si="19"/>
        <v>27.45</v>
      </c>
      <c r="P45" s="163">
        <v>97.142857142857096</v>
      </c>
      <c r="Q45" s="158">
        <f t="shared" si="6"/>
        <v>98.571428571428598</v>
      </c>
      <c r="R45" s="178">
        <f t="shared" si="20"/>
        <v>39.428571428571402</v>
      </c>
      <c r="S45" s="176" t="str">
        <f t="shared" si="21"/>
        <v/>
      </c>
      <c r="T45" s="177" t="str">
        <f t="shared" si="9"/>
        <v/>
      </c>
      <c r="U45" s="167" t="str">
        <f t="shared" si="12"/>
        <v/>
      </c>
      <c r="V45" s="184"/>
    </row>
    <row r="46" spans="1:22" ht="11.25" customHeight="1">
      <c r="A46" s="169" t="str">
        <f t="shared" si="16"/>
        <v/>
      </c>
      <c r="B46" s="182">
        <f>Midterm!B46</f>
        <v>0</v>
      </c>
      <c r="C46" s="183"/>
      <c r="D46" s="180">
        <v>0</v>
      </c>
      <c r="E46" s="156">
        <f t="shared" si="17"/>
        <v>10</v>
      </c>
      <c r="F46" s="180"/>
      <c r="G46" s="180">
        <v>60</v>
      </c>
      <c r="H46" s="181">
        <v>12</v>
      </c>
      <c r="I46" s="158">
        <f t="shared" si="3"/>
        <v>80</v>
      </c>
      <c r="J46" s="171">
        <v>13</v>
      </c>
      <c r="K46" s="159">
        <f t="shared" si="4"/>
        <v>82.5</v>
      </c>
      <c r="L46" s="172">
        <f t="shared" si="18"/>
        <v>16.25</v>
      </c>
      <c r="M46" s="173">
        <v>92</v>
      </c>
      <c r="N46" s="174">
        <f>IF($O$12="0"," ",Transmute)</f>
        <v>96</v>
      </c>
      <c r="O46" s="162">
        <f t="shared" si="19"/>
        <v>27.6</v>
      </c>
      <c r="P46" s="163">
        <v>98.285714285714306</v>
      </c>
      <c r="Q46" s="158">
        <f t="shared" si="6"/>
        <v>99.142857142857196</v>
      </c>
      <c r="R46" s="178">
        <f t="shared" si="20"/>
        <v>39.657142857142901</v>
      </c>
      <c r="S46" s="176" t="str">
        <f t="shared" si="21"/>
        <v/>
      </c>
      <c r="T46" s="177" t="str">
        <f t="shared" si="9"/>
        <v/>
      </c>
      <c r="U46" s="167" t="str">
        <f t="shared" si="12"/>
        <v/>
      </c>
      <c r="V46" s="184"/>
    </row>
    <row r="47" spans="1:22" ht="11.25" customHeight="1">
      <c r="A47" s="169" t="str">
        <f t="shared" si="16"/>
        <v/>
      </c>
      <c r="B47" s="182">
        <f>Midterm!B47</f>
        <v>0</v>
      </c>
      <c r="C47" s="183"/>
      <c r="D47" s="180">
        <v>0</v>
      </c>
      <c r="E47" s="156">
        <f t="shared" si="17"/>
        <v>10</v>
      </c>
      <c r="F47" s="180"/>
      <c r="G47" s="180">
        <v>60</v>
      </c>
      <c r="H47" s="181">
        <v>9</v>
      </c>
      <c r="I47" s="158">
        <f t="shared" si="3"/>
        <v>72.5</v>
      </c>
      <c r="J47" s="171">
        <v>14</v>
      </c>
      <c r="K47" s="159">
        <f t="shared" si="4"/>
        <v>85</v>
      </c>
      <c r="L47" s="172">
        <f t="shared" si="18"/>
        <v>15.75</v>
      </c>
      <c r="M47" s="173">
        <v>91.5</v>
      </c>
      <c r="N47" s="174">
        <f>IF($O$12="0"," ",Transmute)</f>
        <v>95.75</v>
      </c>
      <c r="O47" s="162">
        <f t="shared" si="19"/>
        <v>27.45</v>
      </c>
      <c r="P47" s="163">
        <v>98.571428571428598</v>
      </c>
      <c r="Q47" s="158">
        <f t="shared" si="6"/>
        <v>99.285714285714306</v>
      </c>
      <c r="R47" s="178">
        <f t="shared" si="20"/>
        <v>39.714285714285701</v>
      </c>
      <c r="S47" s="176" t="str">
        <f t="shared" si="21"/>
        <v/>
      </c>
      <c r="T47" s="177" t="str">
        <f t="shared" si="9"/>
        <v/>
      </c>
      <c r="U47" s="167" t="str">
        <f t="shared" si="12"/>
        <v/>
      </c>
      <c r="V47" s="184"/>
    </row>
    <row r="48" spans="1:22" ht="11.25" customHeight="1">
      <c r="A48" s="169" t="str">
        <f t="shared" si="16"/>
        <v/>
      </c>
      <c r="B48" s="182">
        <f>Midterm!B48</f>
        <v>0</v>
      </c>
      <c r="C48" s="183"/>
      <c r="D48" s="180">
        <v>2</v>
      </c>
      <c r="E48" s="156">
        <f t="shared" si="17"/>
        <v>8.5714285714285694</v>
      </c>
      <c r="F48" s="180"/>
      <c r="G48" s="180">
        <v>60</v>
      </c>
      <c r="H48" s="181">
        <v>11</v>
      </c>
      <c r="I48" s="158">
        <f t="shared" si="3"/>
        <v>77.5</v>
      </c>
      <c r="J48" s="171">
        <v>13</v>
      </c>
      <c r="K48" s="159">
        <f t="shared" si="4"/>
        <v>82.5</v>
      </c>
      <c r="L48" s="172">
        <f t="shared" si="18"/>
        <v>16</v>
      </c>
      <c r="M48" s="173">
        <v>91.5</v>
      </c>
      <c r="N48" s="174">
        <f>IF($O$12="0"," ",Transmute)</f>
        <v>95.75</v>
      </c>
      <c r="O48" s="162">
        <f t="shared" si="19"/>
        <v>27.45</v>
      </c>
      <c r="P48" s="163">
        <v>96.857142857142904</v>
      </c>
      <c r="Q48" s="158">
        <f t="shared" si="6"/>
        <v>98.428571428571402</v>
      </c>
      <c r="R48" s="178">
        <f t="shared" si="20"/>
        <v>39.371428571428602</v>
      </c>
      <c r="S48" s="176" t="str">
        <f t="shared" si="21"/>
        <v/>
      </c>
      <c r="T48" s="177" t="str">
        <f t="shared" si="9"/>
        <v/>
      </c>
      <c r="U48" s="167" t="str">
        <f t="shared" si="12"/>
        <v/>
      </c>
      <c r="V48" s="184"/>
    </row>
    <row r="49" spans="1:29" ht="11.25" customHeight="1">
      <c r="A49" s="169" t="str">
        <f t="shared" si="16"/>
        <v/>
      </c>
      <c r="B49" s="182">
        <f>Midterm!B49</f>
        <v>0</v>
      </c>
      <c r="C49" s="183"/>
      <c r="D49" s="180"/>
      <c r="E49" s="156">
        <f t="shared" si="17"/>
        <v>10</v>
      </c>
      <c r="F49" s="180"/>
      <c r="G49" s="180"/>
      <c r="H49" s="181"/>
      <c r="I49" s="158">
        <f t="shared" si="3"/>
        <v>50</v>
      </c>
      <c r="J49" s="171"/>
      <c r="K49" s="159">
        <f t="shared" si="4"/>
        <v>50</v>
      </c>
      <c r="L49" s="172">
        <f t="shared" si="18"/>
        <v>10</v>
      </c>
      <c r="M49" s="185"/>
      <c r="N49" s="174">
        <f>IF($O$12="0"," ",Transmute)</f>
        <v>60</v>
      </c>
      <c r="O49" s="162">
        <f t="shared" si="19"/>
        <v>0</v>
      </c>
      <c r="P49" s="155"/>
      <c r="Q49" s="158">
        <f t="shared" si="6"/>
        <v>50</v>
      </c>
      <c r="R49" s="178">
        <f t="shared" si="20"/>
        <v>20</v>
      </c>
      <c r="S49" s="176" t="str">
        <f t="shared" si="21"/>
        <v/>
      </c>
      <c r="T49" s="177" t="str">
        <f t="shared" si="9"/>
        <v/>
      </c>
      <c r="U49" s="167" t="str">
        <f t="shared" si="12"/>
        <v/>
      </c>
      <c r="V49" s="184"/>
    </row>
    <row r="50" spans="1:29" ht="11.25" customHeight="1">
      <c r="A50" s="169" t="str">
        <f t="shared" si="16"/>
        <v/>
      </c>
      <c r="B50" s="182">
        <f>Midterm!B50</f>
        <v>0</v>
      </c>
      <c r="C50" s="183"/>
      <c r="D50" s="180"/>
      <c r="E50" s="156">
        <f t="shared" si="17"/>
        <v>10</v>
      </c>
      <c r="F50" s="180"/>
      <c r="G50" s="180"/>
      <c r="H50" s="181"/>
      <c r="I50" s="158">
        <f t="shared" si="3"/>
        <v>50</v>
      </c>
      <c r="J50" s="171"/>
      <c r="K50" s="159">
        <f t="shared" si="4"/>
        <v>50</v>
      </c>
      <c r="L50" s="172">
        <f t="shared" si="18"/>
        <v>10</v>
      </c>
      <c r="M50" s="185"/>
      <c r="N50" s="174">
        <f>IF($O$12="0"," ",Transmute)</f>
        <v>60</v>
      </c>
      <c r="O50" s="162">
        <f t="shared" si="19"/>
        <v>0</v>
      </c>
      <c r="P50" s="155"/>
      <c r="Q50" s="158">
        <f t="shared" si="6"/>
        <v>50</v>
      </c>
      <c r="R50" s="178">
        <f t="shared" si="20"/>
        <v>20</v>
      </c>
      <c r="S50" s="176" t="str">
        <f t="shared" si="21"/>
        <v/>
      </c>
      <c r="T50" s="177" t="str">
        <f t="shared" si="9"/>
        <v/>
      </c>
      <c r="U50" s="167" t="str">
        <f t="shared" si="12"/>
        <v/>
      </c>
      <c r="V50" s="184"/>
    </row>
    <row r="51" spans="1:29" ht="11.25" customHeight="1">
      <c r="A51" s="169" t="str">
        <f t="shared" si="16"/>
        <v/>
      </c>
      <c r="B51" s="182">
        <f>Midterm!B51</f>
        <v>0</v>
      </c>
      <c r="C51" s="183"/>
      <c r="D51" s="180"/>
      <c r="E51" s="156">
        <f t="shared" si="17"/>
        <v>10</v>
      </c>
      <c r="F51" s="180"/>
      <c r="G51" s="180"/>
      <c r="H51" s="181"/>
      <c r="I51" s="158">
        <f t="shared" si="3"/>
        <v>50</v>
      </c>
      <c r="J51" s="171"/>
      <c r="K51" s="159">
        <f t="shared" si="4"/>
        <v>50</v>
      </c>
      <c r="L51" s="172">
        <f t="shared" si="18"/>
        <v>10</v>
      </c>
      <c r="M51" s="185"/>
      <c r="N51" s="174">
        <f>IF($O$12="0"," ",Transmute)</f>
        <v>60</v>
      </c>
      <c r="O51" s="162">
        <f t="shared" si="19"/>
        <v>0</v>
      </c>
      <c r="P51" s="155"/>
      <c r="Q51" s="158">
        <f t="shared" si="6"/>
        <v>50</v>
      </c>
      <c r="R51" s="178">
        <f t="shared" si="20"/>
        <v>20</v>
      </c>
      <c r="S51" s="176" t="str">
        <f t="shared" si="21"/>
        <v/>
      </c>
      <c r="T51" s="177" t="str">
        <f t="shared" si="9"/>
        <v/>
      </c>
      <c r="U51" s="167" t="str">
        <f t="shared" si="12"/>
        <v/>
      </c>
      <c r="V51" s="184"/>
    </row>
    <row r="52" spans="1:29" ht="11.25" customHeight="1">
      <c r="A52" s="169" t="str">
        <f t="shared" si="16"/>
        <v/>
      </c>
      <c r="B52" s="182">
        <f>Midterm!B52</f>
        <v>0</v>
      </c>
      <c r="C52" s="183"/>
      <c r="D52" s="180"/>
      <c r="E52" s="156">
        <f t="shared" si="17"/>
        <v>10</v>
      </c>
      <c r="F52" s="180"/>
      <c r="G52" s="180"/>
      <c r="H52" s="181"/>
      <c r="I52" s="158">
        <f t="shared" si="3"/>
        <v>50</v>
      </c>
      <c r="J52" s="171"/>
      <c r="K52" s="159">
        <f t="shared" si="4"/>
        <v>50</v>
      </c>
      <c r="L52" s="172">
        <f t="shared" si="18"/>
        <v>10</v>
      </c>
      <c r="M52" s="185"/>
      <c r="N52" s="174">
        <f>IF($O$12="0"," ",Transmute)</f>
        <v>60</v>
      </c>
      <c r="O52" s="162">
        <f t="shared" si="19"/>
        <v>0</v>
      </c>
      <c r="P52" s="155"/>
      <c r="Q52" s="158">
        <f t="shared" si="6"/>
        <v>50</v>
      </c>
      <c r="R52" s="178">
        <f t="shared" si="20"/>
        <v>20</v>
      </c>
      <c r="S52" s="176" t="str">
        <f t="shared" si="21"/>
        <v/>
      </c>
      <c r="T52" s="177" t="str">
        <f t="shared" si="9"/>
        <v/>
      </c>
      <c r="U52" s="167" t="str">
        <f t="shared" si="12"/>
        <v/>
      </c>
      <c r="V52" s="184"/>
    </row>
    <row r="53" spans="1:29" ht="11.25" customHeight="1">
      <c r="A53" s="169" t="str">
        <f t="shared" si="16"/>
        <v/>
      </c>
      <c r="B53" s="182">
        <f>Midterm!B53</f>
        <v>0</v>
      </c>
      <c r="C53" s="183"/>
      <c r="D53" s="180"/>
      <c r="E53" s="156">
        <f t="shared" si="17"/>
        <v>10</v>
      </c>
      <c r="F53" s="180"/>
      <c r="G53" s="180"/>
      <c r="H53" s="181"/>
      <c r="I53" s="158">
        <f t="shared" si="3"/>
        <v>50</v>
      </c>
      <c r="J53" s="171"/>
      <c r="K53" s="159">
        <f t="shared" si="4"/>
        <v>50</v>
      </c>
      <c r="L53" s="172">
        <f t="shared" si="18"/>
        <v>10</v>
      </c>
      <c r="M53" s="185"/>
      <c r="N53" s="174">
        <f>IF($O$12="0"," ",Transmute)</f>
        <v>60</v>
      </c>
      <c r="O53" s="162">
        <f t="shared" si="19"/>
        <v>0</v>
      </c>
      <c r="P53" s="155"/>
      <c r="Q53" s="158">
        <f t="shared" si="6"/>
        <v>50</v>
      </c>
      <c r="R53" s="178">
        <f t="shared" si="20"/>
        <v>20</v>
      </c>
      <c r="S53" s="176" t="str">
        <f t="shared" si="21"/>
        <v/>
      </c>
      <c r="T53" s="177" t="str">
        <f t="shared" si="9"/>
        <v/>
      </c>
      <c r="U53" s="167" t="str">
        <f t="shared" si="12"/>
        <v/>
      </c>
      <c r="V53" s="184"/>
    </row>
    <row r="54" spans="1:29" ht="11.25" customHeight="1">
      <c r="A54" s="169" t="str">
        <f t="shared" si="16"/>
        <v/>
      </c>
      <c r="B54" s="182">
        <f>Midterm!B54</f>
        <v>0</v>
      </c>
      <c r="C54" s="183"/>
      <c r="D54" s="180"/>
      <c r="E54" s="156">
        <f t="shared" si="17"/>
        <v>10</v>
      </c>
      <c r="F54" s="180"/>
      <c r="G54" s="180"/>
      <c r="H54" s="181"/>
      <c r="I54" s="158">
        <f t="shared" si="3"/>
        <v>50</v>
      </c>
      <c r="J54" s="171"/>
      <c r="K54" s="159">
        <f t="shared" si="4"/>
        <v>50</v>
      </c>
      <c r="L54" s="172">
        <f t="shared" si="18"/>
        <v>10</v>
      </c>
      <c r="M54" s="185"/>
      <c r="N54" s="174">
        <f>IF($O$12="0"," ",Transmute)</f>
        <v>60</v>
      </c>
      <c r="O54" s="162">
        <f t="shared" si="19"/>
        <v>0</v>
      </c>
      <c r="P54" s="155"/>
      <c r="Q54" s="158">
        <f t="shared" si="6"/>
        <v>50</v>
      </c>
      <c r="R54" s="178">
        <f t="shared" si="20"/>
        <v>20</v>
      </c>
      <c r="S54" s="176" t="str">
        <f t="shared" si="21"/>
        <v/>
      </c>
      <c r="T54" s="177" t="str">
        <f t="shared" si="9"/>
        <v/>
      </c>
      <c r="U54" s="167" t="str">
        <f t="shared" si="12"/>
        <v/>
      </c>
      <c r="V54" s="184"/>
    </row>
    <row r="55" spans="1:29" ht="11.25" customHeight="1">
      <c r="A55" s="169" t="str">
        <f t="shared" si="16"/>
        <v/>
      </c>
      <c r="B55" s="182">
        <f>Midterm!B55</f>
        <v>0</v>
      </c>
      <c r="C55" s="183"/>
      <c r="D55" s="180"/>
      <c r="E55" s="156">
        <f t="shared" si="17"/>
        <v>10</v>
      </c>
      <c r="F55" s="180"/>
      <c r="G55" s="180"/>
      <c r="H55" s="181"/>
      <c r="I55" s="158">
        <f t="shared" si="3"/>
        <v>50</v>
      </c>
      <c r="J55" s="171"/>
      <c r="K55" s="159">
        <f t="shared" si="4"/>
        <v>50</v>
      </c>
      <c r="L55" s="172">
        <f t="shared" si="18"/>
        <v>10</v>
      </c>
      <c r="M55" s="185"/>
      <c r="N55" s="174">
        <f>IF($O$12="0"," ",Transmute)</f>
        <v>60</v>
      </c>
      <c r="O55" s="162">
        <f t="shared" si="19"/>
        <v>0</v>
      </c>
      <c r="P55" s="155"/>
      <c r="Q55" s="158">
        <f t="shared" si="6"/>
        <v>50</v>
      </c>
      <c r="R55" s="178">
        <f t="shared" si="20"/>
        <v>20</v>
      </c>
      <c r="S55" s="176" t="str">
        <f t="shared" si="21"/>
        <v/>
      </c>
      <c r="T55" s="177" t="str">
        <f t="shared" si="9"/>
        <v/>
      </c>
      <c r="U55" s="167" t="str">
        <f t="shared" si="12"/>
        <v/>
      </c>
      <c r="V55" s="184"/>
    </row>
    <row r="56" spans="1:29" ht="11.25" customHeight="1">
      <c r="A56" s="169" t="str">
        <f t="shared" si="16"/>
        <v/>
      </c>
      <c r="B56" s="182">
        <f>Midterm!B56</f>
        <v>0</v>
      </c>
      <c r="C56" s="183"/>
      <c r="D56" s="180"/>
      <c r="E56" s="156">
        <f t="shared" si="17"/>
        <v>10</v>
      </c>
      <c r="F56" s="180"/>
      <c r="G56" s="180"/>
      <c r="H56" s="181"/>
      <c r="I56" s="158">
        <f t="shared" si="3"/>
        <v>50</v>
      </c>
      <c r="J56" s="171"/>
      <c r="K56" s="159">
        <f t="shared" si="4"/>
        <v>50</v>
      </c>
      <c r="L56" s="172">
        <f t="shared" si="18"/>
        <v>10</v>
      </c>
      <c r="M56" s="185"/>
      <c r="N56" s="174">
        <f>IF($O$12="0"," ",Transmute)</f>
        <v>60</v>
      </c>
      <c r="O56" s="162">
        <f t="shared" si="19"/>
        <v>0</v>
      </c>
      <c r="P56" s="155"/>
      <c r="Q56" s="158">
        <f t="shared" si="6"/>
        <v>50</v>
      </c>
      <c r="R56" s="178">
        <f t="shared" si="20"/>
        <v>20</v>
      </c>
      <c r="S56" s="176" t="str">
        <f t="shared" si="21"/>
        <v/>
      </c>
      <c r="T56" s="177" t="str">
        <f t="shared" si="9"/>
        <v/>
      </c>
      <c r="U56" s="167" t="str">
        <f t="shared" si="12"/>
        <v/>
      </c>
      <c r="V56" s="186"/>
    </row>
    <row r="57" spans="1:29" ht="11.25" customHeight="1">
      <c r="A57" s="169" t="str">
        <f t="shared" si="16"/>
        <v/>
      </c>
      <c r="B57" s="182">
        <f>Midterm!B57</f>
        <v>0</v>
      </c>
      <c r="C57" s="183"/>
      <c r="D57" s="180"/>
      <c r="E57" s="156">
        <f t="shared" si="17"/>
        <v>10</v>
      </c>
      <c r="F57" s="180"/>
      <c r="G57" s="180"/>
      <c r="H57" s="181"/>
      <c r="I57" s="158">
        <f t="shared" si="3"/>
        <v>50</v>
      </c>
      <c r="J57" s="171"/>
      <c r="K57" s="159">
        <f t="shared" si="4"/>
        <v>50</v>
      </c>
      <c r="L57" s="172">
        <f t="shared" si="18"/>
        <v>10</v>
      </c>
      <c r="M57" s="185"/>
      <c r="N57" s="174">
        <f>IF($O$12="0"," ",Transmute)</f>
        <v>60</v>
      </c>
      <c r="O57" s="162">
        <f t="shared" si="19"/>
        <v>0</v>
      </c>
      <c r="P57" s="155"/>
      <c r="Q57" s="158">
        <f t="shared" si="6"/>
        <v>50</v>
      </c>
      <c r="R57" s="178">
        <f t="shared" si="20"/>
        <v>20</v>
      </c>
      <c r="S57" s="176" t="str">
        <f t="shared" si="21"/>
        <v/>
      </c>
      <c r="T57" s="177" t="str">
        <f t="shared" si="9"/>
        <v/>
      </c>
      <c r="U57" s="167" t="str">
        <f t="shared" si="12"/>
        <v/>
      </c>
      <c r="V57" s="186"/>
    </row>
    <row r="58" spans="1:29" ht="11.25" customHeight="1">
      <c r="A58" s="169" t="str">
        <f t="shared" si="16"/>
        <v/>
      </c>
      <c r="B58" s="182">
        <f>Midterm!B58</f>
        <v>0</v>
      </c>
      <c r="C58" s="183"/>
      <c r="D58" s="180"/>
      <c r="E58" s="156">
        <f t="shared" si="17"/>
        <v>10</v>
      </c>
      <c r="F58" s="180"/>
      <c r="G58" s="180"/>
      <c r="H58" s="181"/>
      <c r="I58" s="158">
        <f t="shared" si="3"/>
        <v>50</v>
      </c>
      <c r="J58" s="171"/>
      <c r="K58" s="159">
        <f t="shared" si="4"/>
        <v>50</v>
      </c>
      <c r="L58" s="172">
        <f t="shared" si="18"/>
        <v>10</v>
      </c>
      <c r="M58" s="185"/>
      <c r="N58" s="174">
        <f>IF($O$12="0"," ",Transmute)</f>
        <v>60</v>
      </c>
      <c r="O58" s="162">
        <f t="shared" si="19"/>
        <v>0</v>
      </c>
      <c r="P58" s="155"/>
      <c r="Q58" s="158">
        <f t="shared" si="6"/>
        <v>50</v>
      </c>
      <c r="R58" s="178">
        <f t="shared" si="20"/>
        <v>20</v>
      </c>
      <c r="S58" s="176" t="str">
        <f t="shared" si="21"/>
        <v/>
      </c>
      <c r="T58" s="177" t="str">
        <f t="shared" si="9"/>
        <v/>
      </c>
      <c r="U58" s="167" t="str">
        <f t="shared" si="12"/>
        <v/>
      </c>
      <c r="V58" s="186"/>
    </row>
    <row r="59" spans="1:29" ht="11.25" customHeight="1">
      <c r="A59" s="169" t="str">
        <f t="shared" si="16"/>
        <v/>
      </c>
      <c r="B59" s="182">
        <f>Midterm!B59</f>
        <v>0</v>
      </c>
      <c r="C59" s="183"/>
      <c r="D59" s="180"/>
      <c r="E59" s="156">
        <f t="shared" si="17"/>
        <v>10</v>
      </c>
      <c r="F59" s="180"/>
      <c r="G59" s="180"/>
      <c r="H59" s="181"/>
      <c r="I59" s="158">
        <f t="shared" si="3"/>
        <v>50</v>
      </c>
      <c r="J59" s="171"/>
      <c r="K59" s="159">
        <f t="shared" si="4"/>
        <v>50</v>
      </c>
      <c r="L59" s="172">
        <f t="shared" si="18"/>
        <v>10</v>
      </c>
      <c r="M59" s="185"/>
      <c r="N59" s="174">
        <f>IF($O$12="0"," ",Transmute)</f>
        <v>60</v>
      </c>
      <c r="O59" s="162">
        <f t="shared" si="19"/>
        <v>0</v>
      </c>
      <c r="P59" s="155"/>
      <c r="Q59" s="158">
        <f t="shared" si="6"/>
        <v>50</v>
      </c>
      <c r="R59" s="178">
        <f t="shared" si="20"/>
        <v>20</v>
      </c>
      <c r="S59" s="176" t="str">
        <f t="shared" si="21"/>
        <v/>
      </c>
      <c r="T59" s="177" t="str">
        <f t="shared" si="9"/>
        <v/>
      </c>
      <c r="U59" s="167" t="str">
        <f t="shared" si="12"/>
        <v/>
      </c>
      <c r="V59" s="186"/>
    </row>
    <row r="60" spans="1:29" ht="15" customHeight="1">
      <c r="AC60"/>
    </row>
    <row r="61" spans="1:29" ht="15" customHeight="1">
      <c r="AC61"/>
    </row>
    <row r="62" spans="1:29" ht="15" customHeight="1">
      <c r="AC62"/>
    </row>
    <row r="63" spans="1:29" ht="15" customHeight="1">
      <c r="AC63"/>
    </row>
    <row r="64" spans="1:29" ht="15" customHeight="1">
      <c r="AC64"/>
    </row>
    <row r="65" spans="29:29" ht="15" customHeight="1">
      <c r="AC65"/>
    </row>
    <row r="66" spans="29:29" ht="15" customHeight="1">
      <c r="AC66"/>
    </row>
    <row r="67" spans="29:29" ht="15" customHeight="1">
      <c r="AC67"/>
    </row>
    <row r="68" spans="29:29" ht="15" customHeight="1">
      <c r="AC68"/>
    </row>
    <row r="69" spans="29:29" ht="15" customHeight="1">
      <c r="AC69"/>
    </row>
    <row r="70" spans="29:29" ht="15" customHeight="1">
      <c r="AC70"/>
    </row>
    <row r="71" spans="29:29" ht="15" customHeight="1">
      <c r="AC71"/>
    </row>
    <row r="72" spans="29:29" ht="15" customHeight="1">
      <c r="AC72"/>
    </row>
    <row r="73" spans="29:29" ht="15" customHeight="1">
      <c r="AC73"/>
    </row>
    <row r="74" spans="29:29" ht="15" customHeight="1">
      <c r="AC74"/>
    </row>
    <row r="75" spans="29:29" ht="15" customHeight="1">
      <c r="AC75"/>
    </row>
    <row r="76" spans="29:29" ht="15" customHeight="1">
      <c r="AC76"/>
    </row>
    <row r="77" spans="29:29" ht="15" customHeight="1">
      <c r="AC77"/>
    </row>
    <row r="78" spans="29:29" ht="15" customHeight="1">
      <c r="AC78"/>
    </row>
    <row r="79" spans="29:29" ht="15" customHeight="1">
      <c r="AC79"/>
    </row>
    <row r="80" spans="29:29" ht="15" customHeight="1">
      <c r="AC80"/>
    </row>
    <row r="81" spans="29:29" ht="15" customHeight="1">
      <c r="AC81"/>
    </row>
    <row r="82" spans="29:29" ht="15" customHeight="1">
      <c r="AC82"/>
    </row>
    <row r="83" spans="29:29" ht="15" customHeight="1">
      <c r="AC83"/>
    </row>
    <row r="84" spans="29:29" ht="15" customHeight="1">
      <c r="AC84"/>
    </row>
    <row r="85" spans="29:29" ht="15" customHeight="1">
      <c r="AC85"/>
    </row>
    <row r="86" spans="29:29" ht="15" customHeight="1">
      <c r="AC86"/>
    </row>
    <row r="87" spans="29:29" ht="15" customHeight="1">
      <c r="AC87"/>
    </row>
    <row r="88" spans="29:29" ht="15" customHeight="1">
      <c r="AC88"/>
    </row>
    <row r="89" spans="29:29" ht="15" customHeight="1">
      <c r="AC89"/>
    </row>
    <row r="90" spans="29:29" ht="15" customHeight="1">
      <c r="AC90"/>
    </row>
    <row r="91" spans="29:29" ht="15" customHeight="1">
      <c r="AC91"/>
    </row>
    <row r="92" spans="29:29" ht="15" customHeight="1">
      <c r="AC92"/>
    </row>
    <row r="93" spans="29:29" ht="15" customHeight="1">
      <c r="AC93"/>
    </row>
    <row r="94" spans="29:29" ht="15" customHeight="1">
      <c r="AC94"/>
    </row>
    <row r="95" spans="29:29" ht="15" customHeight="1">
      <c r="AC95"/>
    </row>
    <row r="96" spans="29:29" ht="15" customHeight="1">
      <c r="AC96"/>
    </row>
    <row r="97" spans="29:29" ht="15" customHeight="1">
      <c r="AC97"/>
    </row>
    <row r="98" spans="29:29" ht="15" customHeight="1">
      <c r="AC98"/>
    </row>
    <row r="99" spans="29:29" ht="15" customHeight="1">
      <c r="AC99"/>
    </row>
    <row r="100" spans="29:29" ht="15" customHeight="1">
      <c r="AC100"/>
    </row>
    <row r="101" spans="29:29" ht="15" customHeight="1">
      <c r="AC101"/>
    </row>
    <row r="102" spans="29:29" ht="15" customHeight="1">
      <c r="AC102"/>
    </row>
    <row r="103" spans="29:29" ht="15" customHeight="1">
      <c r="AC103"/>
    </row>
    <row r="104" spans="29:29" ht="15" customHeight="1">
      <c r="AC104"/>
    </row>
    <row r="105" spans="29:29" ht="15" customHeight="1">
      <c r="AC105"/>
    </row>
    <row r="106" spans="29:29" ht="15" customHeight="1">
      <c r="AC106"/>
    </row>
    <row r="107" spans="29:29" ht="15" customHeight="1">
      <c r="AC107"/>
    </row>
    <row r="108" spans="29:29" ht="15" customHeight="1">
      <c r="AC108"/>
    </row>
    <row r="109" spans="29:29" ht="15" customHeight="1">
      <c r="AC109"/>
    </row>
    <row r="110" spans="29:29" ht="15" customHeight="1">
      <c r="AC110"/>
    </row>
    <row r="111" spans="29:29" ht="15" customHeight="1">
      <c r="AC111"/>
    </row>
    <row r="112" spans="29:29" ht="15" customHeight="1">
      <c r="AC112"/>
    </row>
    <row r="113" spans="29:29" ht="15" customHeight="1">
      <c r="AC113"/>
    </row>
    <row r="114" spans="29:29" ht="15" customHeight="1">
      <c r="AC114"/>
    </row>
    <row r="115" spans="29:29" ht="15" customHeight="1">
      <c r="AC115"/>
    </row>
    <row r="116" spans="29:29" ht="15" customHeight="1">
      <c r="AC116"/>
    </row>
    <row r="117" spans="29:29" ht="15" customHeight="1">
      <c r="AC117"/>
    </row>
    <row r="118" spans="29:29" ht="15" customHeight="1">
      <c r="AC118"/>
    </row>
    <row r="119" spans="29:29" ht="15" customHeight="1">
      <c r="AC119"/>
    </row>
    <row r="120" spans="29:29" ht="15" customHeight="1">
      <c r="AC120"/>
    </row>
    <row r="121" spans="29:29" ht="15" customHeight="1">
      <c r="AC121"/>
    </row>
    <row r="122" spans="29:29" ht="15" customHeight="1">
      <c r="AC122"/>
    </row>
    <row r="123" spans="29:29" ht="15" customHeight="1">
      <c r="AC123"/>
    </row>
    <row r="124" spans="29:29" ht="15" customHeight="1">
      <c r="AC124"/>
    </row>
    <row r="125" spans="29:29" ht="15" customHeight="1">
      <c r="AC125"/>
    </row>
    <row r="126" spans="29:29" ht="15" customHeight="1">
      <c r="AC126"/>
    </row>
    <row r="127" spans="29:29" ht="15" customHeight="1">
      <c r="AC127"/>
    </row>
    <row r="128" spans="29:29" ht="15" customHeight="1">
      <c r="AC128"/>
    </row>
    <row r="129" spans="29:29" ht="15" customHeight="1">
      <c r="AC129"/>
    </row>
    <row r="130" spans="29:29" ht="15" customHeight="1">
      <c r="AC130"/>
    </row>
    <row r="131" spans="29:29" ht="15" customHeight="1">
      <c r="AC131"/>
    </row>
    <row r="132" spans="29:29" ht="15" customHeight="1">
      <c r="AC132"/>
    </row>
    <row r="133" spans="29:29" ht="15" customHeight="1">
      <c r="AC133"/>
    </row>
  </sheetData>
  <sheetProtection algorithmName="SHA-512" hashValue="nJvq4RdFG+Pqk0hvE0fMfvajvFlWWPwzdUA9IunlxEbVTdH2cbG/G5Epm2+/y+MUflI8eo/vOQqURkly0tQYng==" saltValue="mu7mFgVHqtl4BGQYqyMnOw==" spinCount="100000" sheet="1" objects="1" scenarios="1"/>
  <mergeCells count="25">
    <mergeCell ref="P13:P14"/>
    <mergeCell ref="Q13:Q14"/>
    <mergeCell ref="R13:R14"/>
    <mergeCell ref="S13:S14"/>
    <mergeCell ref="T13:U14"/>
    <mergeCell ref="K13:K14"/>
    <mergeCell ref="L13:L14"/>
    <mergeCell ref="M13:M14"/>
    <mergeCell ref="N13:N14"/>
    <mergeCell ref="O13:O14"/>
    <mergeCell ref="F13:F14"/>
    <mergeCell ref="G13:G14"/>
    <mergeCell ref="H13:H14"/>
    <mergeCell ref="I13:I14"/>
    <mergeCell ref="J13:J14"/>
    <mergeCell ref="A12:A14"/>
    <mergeCell ref="B12:B13"/>
    <mergeCell ref="C12:C14"/>
    <mergeCell ref="D13:D14"/>
    <mergeCell ref="E13:E14"/>
    <mergeCell ref="I1:L1"/>
    <mergeCell ref="T1:U1"/>
    <mergeCell ref="B11:C11"/>
    <mergeCell ref="D12:E12"/>
    <mergeCell ref="S12:T12"/>
  </mergeCells>
  <conditionalFormatting sqref="B15:B59">
    <cfRule type="cellIs" dxfId="18" priority="7" operator="equal">
      <formula>0</formula>
    </cfRule>
  </conditionalFormatting>
  <conditionalFormatting sqref="B15:U59">
    <cfRule type="expression" dxfId="17" priority="8">
      <formula>AND($X$1=-1,$U15="Fail",$T15&gt;=$D$9)</formula>
    </cfRule>
  </conditionalFormatting>
  <conditionalFormatting sqref="E15:E59 I15:I59 K15:L59 N15:O59 Q15:R59">
    <cfRule type="expression" dxfId="16" priority="9" stopIfTrue="1">
      <formula>ISNONTEXT($B15)</formula>
    </cfRule>
  </conditionalFormatting>
  <conditionalFormatting sqref="E15:R59">
    <cfRule type="expression" dxfId="15" priority="11">
      <formula>OR($U15="dna",$U15="drp",$U$12&lt;&gt;1)</formula>
    </cfRule>
  </conditionalFormatting>
  <conditionalFormatting sqref="S15:T59">
    <cfRule type="expression" dxfId="14" priority="4">
      <formula>$U15="inc"</formula>
    </cfRule>
    <cfRule type="expression" dxfId="13" priority="5">
      <formula>$U15="drp"</formula>
    </cfRule>
    <cfRule type="expression" dxfId="12" priority="6">
      <formula>$U15="dna"</formula>
    </cfRule>
  </conditionalFormatting>
  <conditionalFormatting sqref="S15:U59">
    <cfRule type="expression" dxfId="11" priority="10">
      <formula>OR(S15="inc",S15="Fail",AND(ISNUMBER(S15),S15&lt;75,S15&gt;=3))</formula>
    </cfRule>
  </conditionalFormatting>
  <conditionalFormatting sqref="T15:U59">
    <cfRule type="expression" dxfId="10" priority="2">
      <formula>OR($U15="dna",$U15="drp",$U$12&lt;&gt;1)</formula>
    </cfRule>
  </conditionalFormatting>
  <dataValidations count="9">
    <dataValidation type="decimal" showInputMessage="1" showErrorMessage="1" errorTitle="Out of Range" error="72 - 75" sqref="D9" xr:uid="{00000000-0002-0000-0200-000000000000}">
      <formula1>72</formula1>
      <formula2>75</formula2>
    </dataValidation>
    <dataValidation type="decimal" showInputMessage="1" showErrorMessage="1" errorTitle="Out of Range" error="50 - 71" sqref="G9" xr:uid="{00000000-0002-0000-0200-000001000000}">
      <formula1>50</formula1>
      <formula2>71</formula2>
    </dataValidation>
    <dataValidation type="decimal" showInputMessage="1" showErrorMessage="1" errorTitle="Out of Range" error="97 - 100" sqref="J9" xr:uid="{00000000-0002-0000-0200-000002000000}">
      <formula1>97</formula1>
      <formula2>100</formula2>
    </dataValidation>
    <dataValidation type="decimal" allowBlank="1" showInputMessage="1" showErrorMessage="1" errorTitle="Out of Range" error="Please Check_x000a_Number of Meetings " sqref="D15:D59" xr:uid="{00000000-0002-0000-0200-000003000000}">
      <formula1>0</formula1>
      <formula2>$D$10</formula2>
    </dataValidation>
    <dataValidation type="whole" allowBlank="1" showInputMessage="1" showErrorMessage="1" errorTitle="Out of Range" error="Please Check_x000a_Total Items of Quiz 1" sqref="H15:H59" xr:uid="{00000000-0002-0000-0200-000004000000}">
      <formula1>0</formula1>
      <formula2>$I$12</formula2>
    </dataValidation>
    <dataValidation type="whole" allowBlank="1" showInputMessage="1" showErrorMessage="1" errorTitle="Out of Range" error="Please Check_x000a_Total Items of Quiz 2" sqref="J15:J59" xr:uid="{00000000-0002-0000-0200-000005000000}">
      <formula1>0</formula1>
      <formula2>$K$12</formula2>
    </dataValidation>
    <dataValidation type="whole" showInputMessage="1" showErrorMessage="1" errorTitle="Out of Range" error="Minimum grade is 50" sqref="M15:M59" xr:uid="{00000000-0002-0000-0200-000006000000}">
      <formula1>50</formula1>
      <formula2>100</formula2>
    </dataValidation>
    <dataValidation type="whole" allowBlank="1" showInputMessage="1" showErrorMessage="1" errorTitle="Out of Range" error="Please Check_x000a_Total Items of Major Exam" sqref="P15:P59" xr:uid="{00000000-0002-0000-0200-000007000000}">
      <formula1>0</formula1>
      <formula2>$Q$12</formula2>
    </dataValidation>
    <dataValidation type="decimal" showInputMessage="1" showErrorMessage="1" errorTitle="Out of Range" error="Minimum grade is 50" sqref="F15:G59" xr:uid="{00000000-0002-0000-0200-000008000000}">
      <formula1>50</formula1>
      <formula2>100</formula2>
    </dataValidation>
  </dataValidations>
  <pageMargins left="0.7" right="0.7" top="0.75" bottom="0.75" header="0.3" footer="0.3"/>
  <pageSetup scale="93" fitToHeight="2" orientation="landscape"/>
  <headerFooter>
    <oddFooter>&amp;C&amp;8&amp;F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  <pageSetUpPr fitToPage="1"/>
  </sheetPr>
  <dimension ref="A1:Q83"/>
  <sheetViews>
    <sheetView topLeftCell="A6" workbookViewId="0">
      <pane xSplit="2" ySplit="9" topLeftCell="C15" activePane="bottomRight" state="frozen"/>
      <selection pane="topRight"/>
      <selection pane="bottomLeft"/>
      <selection pane="bottomRight" activeCell="D15" sqref="D15"/>
    </sheetView>
  </sheetViews>
  <sheetFormatPr defaultColWidth="9" defaultRowHeight="10.199999999999999"/>
  <cols>
    <col min="1" max="1" width="3.5546875" style="4" customWidth="1"/>
    <col min="2" max="2" width="30.5546875" style="4" customWidth="1"/>
    <col min="3" max="3" width="0.109375" style="4" customWidth="1"/>
    <col min="4" max="4" width="10.88671875" style="4" customWidth="1"/>
    <col min="5" max="5" width="10.88671875" style="4" hidden="1" customWidth="1"/>
    <col min="6" max="8" width="10.88671875" style="4" customWidth="1"/>
    <col min="9" max="9" width="8.6640625" style="4" customWidth="1"/>
    <col min="10" max="10" width="9.88671875" style="5" customWidth="1"/>
    <col min="11" max="11" width="14.88671875" style="4" customWidth="1"/>
    <col min="12" max="12" width="14.6640625" style="4" customWidth="1"/>
    <col min="13" max="13" width="9.77734375" style="3" hidden="1" customWidth="1"/>
    <col min="14" max="14" width="14.88671875" style="3" hidden="1" customWidth="1"/>
    <col min="15" max="15" width="14.88671875" style="3" customWidth="1"/>
    <col min="16" max="18" width="14.88671875" style="4" customWidth="1"/>
    <col min="19" max="240" width="9.109375" style="4"/>
    <col min="241" max="241" width="3.5546875" style="4" customWidth="1"/>
    <col min="242" max="242" width="30.5546875" style="4" customWidth="1"/>
    <col min="243" max="243" width="4.6640625" style="4" customWidth="1"/>
    <col min="244" max="244" width="8.6640625" style="4" customWidth="1"/>
    <col min="245" max="245" width="4.6640625" style="4" customWidth="1"/>
    <col min="246" max="246" width="8.6640625" style="4" customWidth="1"/>
    <col min="247" max="247" width="4.6640625" style="4" customWidth="1"/>
    <col min="248" max="248" width="8.6640625" style="4" customWidth="1"/>
    <col min="249" max="249" width="4.6640625" style="4" customWidth="1"/>
    <col min="250" max="250" width="8.6640625" style="4" customWidth="1"/>
    <col min="251" max="251" width="1.33203125" style="4" customWidth="1"/>
    <col min="252" max="254" width="8.6640625" style="4" customWidth="1"/>
    <col min="255" max="255" width="9.88671875" style="4" customWidth="1"/>
    <col min="256" max="256" width="6.33203125" style="4" customWidth="1"/>
    <col min="257" max="257" width="7.109375" style="4" customWidth="1"/>
    <col min="258" max="258" width="4.6640625" style="4" customWidth="1"/>
    <col min="259" max="262" width="2.6640625" style="4" customWidth="1"/>
    <col min="263" max="263" width="27.88671875" style="4" customWidth="1"/>
    <col min="264" max="496" width="9.109375" style="4"/>
    <col min="497" max="497" width="3.5546875" style="4" customWidth="1"/>
    <col min="498" max="498" width="30.5546875" style="4" customWidth="1"/>
    <col min="499" max="499" width="4.6640625" style="4" customWidth="1"/>
    <col min="500" max="500" width="8.6640625" style="4" customWidth="1"/>
    <col min="501" max="501" width="4.6640625" style="4" customWidth="1"/>
    <col min="502" max="502" width="8.6640625" style="4" customWidth="1"/>
    <col min="503" max="503" width="4.6640625" style="4" customWidth="1"/>
    <col min="504" max="504" width="8.6640625" style="4" customWidth="1"/>
    <col min="505" max="505" width="4.6640625" style="4" customWidth="1"/>
    <col min="506" max="506" width="8.6640625" style="4" customWidth="1"/>
    <col min="507" max="507" width="1.33203125" style="4" customWidth="1"/>
    <col min="508" max="510" width="8.6640625" style="4" customWidth="1"/>
    <col min="511" max="511" width="9.88671875" style="4" customWidth="1"/>
    <col min="512" max="512" width="6.33203125" style="4" customWidth="1"/>
    <col min="513" max="513" width="7.109375" style="4" customWidth="1"/>
    <col min="514" max="514" width="4.6640625" style="4" customWidth="1"/>
    <col min="515" max="518" width="2.6640625" style="4" customWidth="1"/>
    <col min="519" max="519" width="27.88671875" style="4" customWidth="1"/>
    <col min="520" max="752" width="9.109375" style="4"/>
    <col min="753" max="753" width="3.5546875" style="4" customWidth="1"/>
    <col min="754" max="754" width="30.5546875" style="4" customWidth="1"/>
    <col min="755" max="755" width="4.6640625" style="4" customWidth="1"/>
    <col min="756" max="756" width="8.6640625" style="4" customWidth="1"/>
    <col min="757" max="757" width="4.6640625" style="4" customWidth="1"/>
    <col min="758" max="758" width="8.6640625" style="4" customWidth="1"/>
    <col min="759" max="759" width="4.6640625" style="4" customWidth="1"/>
    <col min="760" max="760" width="8.6640625" style="4" customWidth="1"/>
    <col min="761" max="761" width="4.6640625" style="4" customWidth="1"/>
    <col min="762" max="762" width="8.6640625" style="4" customWidth="1"/>
    <col min="763" max="763" width="1.33203125" style="4" customWidth="1"/>
    <col min="764" max="766" width="8.6640625" style="4" customWidth="1"/>
    <col min="767" max="767" width="9.88671875" style="4" customWidth="1"/>
    <col min="768" max="768" width="6.33203125" style="4" customWidth="1"/>
    <col min="769" max="769" width="7.109375" style="4" customWidth="1"/>
    <col min="770" max="770" width="4.6640625" style="4" customWidth="1"/>
    <col min="771" max="774" width="2.6640625" style="4" customWidth="1"/>
    <col min="775" max="775" width="27.88671875" style="4" customWidth="1"/>
    <col min="776" max="1008" width="9.109375" style="4"/>
    <col min="1009" max="1009" width="3.5546875" style="4" customWidth="1"/>
    <col min="1010" max="1010" width="30.5546875" style="4" customWidth="1"/>
    <col min="1011" max="1011" width="4.6640625" style="4" customWidth="1"/>
    <col min="1012" max="1012" width="8.6640625" style="4" customWidth="1"/>
    <col min="1013" max="1013" width="4.6640625" style="4" customWidth="1"/>
    <col min="1014" max="1014" width="8.6640625" style="4" customWidth="1"/>
    <col min="1015" max="1015" width="4.6640625" style="4" customWidth="1"/>
    <col min="1016" max="1016" width="8.6640625" style="4" customWidth="1"/>
    <col min="1017" max="1017" width="4.6640625" style="4" customWidth="1"/>
    <col min="1018" max="1018" width="8.6640625" style="4" customWidth="1"/>
    <col min="1019" max="1019" width="1.33203125" style="4" customWidth="1"/>
    <col min="1020" max="1022" width="8.6640625" style="4" customWidth="1"/>
    <col min="1023" max="1023" width="9.88671875" style="4" customWidth="1"/>
    <col min="1024" max="1024" width="6.33203125" style="4" customWidth="1"/>
    <col min="1025" max="1025" width="7.109375" style="4" customWidth="1"/>
    <col min="1026" max="1026" width="4.6640625" style="4" customWidth="1"/>
    <col min="1027" max="1030" width="2.6640625" style="4" customWidth="1"/>
    <col min="1031" max="1031" width="27.88671875" style="4" customWidth="1"/>
    <col min="1032" max="1264" width="9.109375" style="4"/>
    <col min="1265" max="1265" width="3.5546875" style="4" customWidth="1"/>
    <col min="1266" max="1266" width="30.5546875" style="4" customWidth="1"/>
    <col min="1267" max="1267" width="4.6640625" style="4" customWidth="1"/>
    <col min="1268" max="1268" width="8.6640625" style="4" customWidth="1"/>
    <col min="1269" max="1269" width="4.6640625" style="4" customWidth="1"/>
    <col min="1270" max="1270" width="8.6640625" style="4" customWidth="1"/>
    <col min="1271" max="1271" width="4.6640625" style="4" customWidth="1"/>
    <col min="1272" max="1272" width="8.6640625" style="4" customWidth="1"/>
    <col min="1273" max="1273" width="4.6640625" style="4" customWidth="1"/>
    <col min="1274" max="1274" width="8.6640625" style="4" customWidth="1"/>
    <col min="1275" max="1275" width="1.33203125" style="4" customWidth="1"/>
    <col min="1276" max="1278" width="8.6640625" style="4" customWidth="1"/>
    <col min="1279" max="1279" width="9.88671875" style="4" customWidth="1"/>
    <col min="1280" max="1280" width="6.33203125" style="4" customWidth="1"/>
    <col min="1281" max="1281" width="7.109375" style="4" customWidth="1"/>
    <col min="1282" max="1282" width="4.6640625" style="4" customWidth="1"/>
    <col min="1283" max="1286" width="2.6640625" style="4" customWidth="1"/>
    <col min="1287" max="1287" width="27.88671875" style="4" customWidth="1"/>
    <col min="1288" max="1520" width="9.109375" style="4"/>
    <col min="1521" max="1521" width="3.5546875" style="4" customWidth="1"/>
    <col min="1522" max="1522" width="30.5546875" style="4" customWidth="1"/>
    <col min="1523" max="1523" width="4.6640625" style="4" customWidth="1"/>
    <col min="1524" max="1524" width="8.6640625" style="4" customWidth="1"/>
    <col min="1525" max="1525" width="4.6640625" style="4" customWidth="1"/>
    <col min="1526" max="1526" width="8.6640625" style="4" customWidth="1"/>
    <col min="1527" max="1527" width="4.6640625" style="4" customWidth="1"/>
    <col min="1528" max="1528" width="8.6640625" style="4" customWidth="1"/>
    <col min="1529" max="1529" width="4.6640625" style="4" customWidth="1"/>
    <col min="1530" max="1530" width="8.6640625" style="4" customWidth="1"/>
    <col min="1531" max="1531" width="1.33203125" style="4" customWidth="1"/>
    <col min="1532" max="1534" width="8.6640625" style="4" customWidth="1"/>
    <col min="1535" max="1535" width="9.88671875" style="4" customWidth="1"/>
    <col min="1536" max="1536" width="6.33203125" style="4" customWidth="1"/>
    <col min="1537" max="1537" width="7.109375" style="4" customWidth="1"/>
    <col min="1538" max="1538" width="4.6640625" style="4" customWidth="1"/>
    <col min="1539" max="1542" width="2.6640625" style="4" customWidth="1"/>
    <col min="1543" max="1543" width="27.88671875" style="4" customWidth="1"/>
    <col min="1544" max="1776" width="9.109375" style="4"/>
    <col min="1777" max="1777" width="3.5546875" style="4" customWidth="1"/>
    <col min="1778" max="1778" width="30.5546875" style="4" customWidth="1"/>
    <col min="1779" max="1779" width="4.6640625" style="4" customWidth="1"/>
    <col min="1780" max="1780" width="8.6640625" style="4" customWidth="1"/>
    <col min="1781" max="1781" width="4.6640625" style="4" customWidth="1"/>
    <col min="1782" max="1782" width="8.6640625" style="4" customWidth="1"/>
    <col min="1783" max="1783" width="4.6640625" style="4" customWidth="1"/>
    <col min="1784" max="1784" width="8.6640625" style="4" customWidth="1"/>
    <col min="1785" max="1785" width="4.6640625" style="4" customWidth="1"/>
    <col min="1786" max="1786" width="8.6640625" style="4" customWidth="1"/>
    <col min="1787" max="1787" width="1.33203125" style="4" customWidth="1"/>
    <col min="1788" max="1790" width="8.6640625" style="4" customWidth="1"/>
    <col min="1791" max="1791" width="9.88671875" style="4" customWidth="1"/>
    <col min="1792" max="1792" width="6.33203125" style="4" customWidth="1"/>
    <col min="1793" max="1793" width="7.109375" style="4" customWidth="1"/>
    <col min="1794" max="1794" width="4.6640625" style="4" customWidth="1"/>
    <col min="1795" max="1798" width="2.6640625" style="4" customWidth="1"/>
    <col min="1799" max="1799" width="27.88671875" style="4" customWidth="1"/>
    <col min="1800" max="2032" width="9.109375" style="4"/>
    <col min="2033" max="2033" width="3.5546875" style="4" customWidth="1"/>
    <col min="2034" max="2034" width="30.5546875" style="4" customWidth="1"/>
    <col min="2035" max="2035" width="4.6640625" style="4" customWidth="1"/>
    <col min="2036" max="2036" width="8.6640625" style="4" customWidth="1"/>
    <col min="2037" max="2037" width="4.6640625" style="4" customWidth="1"/>
    <col min="2038" max="2038" width="8.6640625" style="4" customWidth="1"/>
    <col min="2039" max="2039" width="4.6640625" style="4" customWidth="1"/>
    <col min="2040" max="2040" width="8.6640625" style="4" customWidth="1"/>
    <col min="2041" max="2041" width="4.6640625" style="4" customWidth="1"/>
    <col min="2042" max="2042" width="8.6640625" style="4" customWidth="1"/>
    <col min="2043" max="2043" width="1.33203125" style="4" customWidth="1"/>
    <col min="2044" max="2046" width="8.6640625" style="4" customWidth="1"/>
    <col min="2047" max="2047" width="9.88671875" style="4" customWidth="1"/>
    <col min="2048" max="2048" width="6.33203125" style="4" customWidth="1"/>
    <col min="2049" max="2049" width="7.109375" style="4" customWidth="1"/>
    <col min="2050" max="2050" width="4.6640625" style="4" customWidth="1"/>
    <col min="2051" max="2054" width="2.6640625" style="4" customWidth="1"/>
    <col min="2055" max="2055" width="27.88671875" style="4" customWidth="1"/>
    <col min="2056" max="2288" width="9.109375" style="4"/>
    <col min="2289" max="2289" width="3.5546875" style="4" customWidth="1"/>
    <col min="2290" max="2290" width="30.5546875" style="4" customWidth="1"/>
    <col min="2291" max="2291" width="4.6640625" style="4" customWidth="1"/>
    <col min="2292" max="2292" width="8.6640625" style="4" customWidth="1"/>
    <col min="2293" max="2293" width="4.6640625" style="4" customWidth="1"/>
    <col min="2294" max="2294" width="8.6640625" style="4" customWidth="1"/>
    <col min="2295" max="2295" width="4.6640625" style="4" customWidth="1"/>
    <col min="2296" max="2296" width="8.6640625" style="4" customWidth="1"/>
    <col min="2297" max="2297" width="4.6640625" style="4" customWidth="1"/>
    <col min="2298" max="2298" width="8.6640625" style="4" customWidth="1"/>
    <col min="2299" max="2299" width="1.33203125" style="4" customWidth="1"/>
    <col min="2300" max="2302" width="8.6640625" style="4" customWidth="1"/>
    <col min="2303" max="2303" width="9.88671875" style="4" customWidth="1"/>
    <col min="2304" max="2304" width="6.33203125" style="4" customWidth="1"/>
    <col min="2305" max="2305" width="7.109375" style="4" customWidth="1"/>
    <col min="2306" max="2306" width="4.6640625" style="4" customWidth="1"/>
    <col min="2307" max="2310" width="2.6640625" style="4" customWidth="1"/>
    <col min="2311" max="2311" width="27.88671875" style="4" customWidth="1"/>
    <col min="2312" max="2544" width="9.109375" style="4"/>
    <col min="2545" max="2545" width="3.5546875" style="4" customWidth="1"/>
    <col min="2546" max="2546" width="30.5546875" style="4" customWidth="1"/>
    <col min="2547" max="2547" width="4.6640625" style="4" customWidth="1"/>
    <col min="2548" max="2548" width="8.6640625" style="4" customWidth="1"/>
    <col min="2549" max="2549" width="4.6640625" style="4" customWidth="1"/>
    <col min="2550" max="2550" width="8.6640625" style="4" customWidth="1"/>
    <col min="2551" max="2551" width="4.6640625" style="4" customWidth="1"/>
    <col min="2552" max="2552" width="8.6640625" style="4" customWidth="1"/>
    <col min="2553" max="2553" width="4.6640625" style="4" customWidth="1"/>
    <col min="2554" max="2554" width="8.6640625" style="4" customWidth="1"/>
    <col min="2555" max="2555" width="1.33203125" style="4" customWidth="1"/>
    <col min="2556" max="2558" width="8.6640625" style="4" customWidth="1"/>
    <col min="2559" max="2559" width="9.88671875" style="4" customWidth="1"/>
    <col min="2560" max="2560" width="6.33203125" style="4" customWidth="1"/>
    <col min="2561" max="2561" width="7.109375" style="4" customWidth="1"/>
    <col min="2562" max="2562" width="4.6640625" style="4" customWidth="1"/>
    <col min="2563" max="2566" width="2.6640625" style="4" customWidth="1"/>
    <col min="2567" max="2567" width="27.88671875" style="4" customWidth="1"/>
    <col min="2568" max="2800" width="9.109375" style="4"/>
    <col min="2801" max="2801" width="3.5546875" style="4" customWidth="1"/>
    <col min="2802" max="2802" width="30.5546875" style="4" customWidth="1"/>
    <col min="2803" max="2803" width="4.6640625" style="4" customWidth="1"/>
    <col min="2804" max="2804" width="8.6640625" style="4" customWidth="1"/>
    <col min="2805" max="2805" width="4.6640625" style="4" customWidth="1"/>
    <col min="2806" max="2806" width="8.6640625" style="4" customWidth="1"/>
    <col min="2807" max="2807" width="4.6640625" style="4" customWidth="1"/>
    <col min="2808" max="2808" width="8.6640625" style="4" customWidth="1"/>
    <col min="2809" max="2809" width="4.6640625" style="4" customWidth="1"/>
    <col min="2810" max="2810" width="8.6640625" style="4" customWidth="1"/>
    <col min="2811" max="2811" width="1.33203125" style="4" customWidth="1"/>
    <col min="2812" max="2814" width="8.6640625" style="4" customWidth="1"/>
    <col min="2815" max="2815" width="9.88671875" style="4" customWidth="1"/>
    <col min="2816" max="2816" width="6.33203125" style="4" customWidth="1"/>
    <col min="2817" max="2817" width="7.109375" style="4" customWidth="1"/>
    <col min="2818" max="2818" width="4.6640625" style="4" customWidth="1"/>
    <col min="2819" max="2822" width="2.6640625" style="4" customWidth="1"/>
    <col min="2823" max="2823" width="27.88671875" style="4" customWidth="1"/>
    <col min="2824" max="3056" width="9.109375" style="4"/>
    <col min="3057" max="3057" width="3.5546875" style="4" customWidth="1"/>
    <col min="3058" max="3058" width="30.5546875" style="4" customWidth="1"/>
    <col min="3059" max="3059" width="4.6640625" style="4" customWidth="1"/>
    <col min="3060" max="3060" width="8.6640625" style="4" customWidth="1"/>
    <col min="3061" max="3061" width="4.6640625" style="4" customWidth="1"/>
    <col min="3062" max="3062" width="8.6640625" style="4" customWidth="1"/>
    <col min="3063" max="3063" width="4.6640625" style="4" customWidth="1"/>
    <col min="3064" max="3064" width="8.6640625" style="4" customWidth="1"/>
    <col min="3065" max="3065" width="4.6640625" style="4" customWidth="1"/>
    <col min="3066" max="3066" width="8.6640625" style="4" customWidth="1"/>
    <col min="3067" max="3067" width="1.33203125" style="4" customWidth="1"/>
    <col min="3068" max="3070" width="8.6640625" style="4" customWidth="1"/>
    <col min="3071" max="3071" width="9.88671875" style="4" customWidth="1"/>
    <col min="3072" max="3072" width="6.33203125" style="4" customWidth="1"/>
    <col min="3073" max="3073" width="7.109375" style="4" customWidth="1"/>
    <col min="3074" max="3074" width="4.6640625" style="4" customWidth="1"/>
    <col min="3075" max="3078" width="2.6640625" style="4" customWidth="1"/>
    <col min="3079" max="3079" width="27.88671875" style="4" customWidth="1"/>
    <col min="3080" max="3312" width="9.109375" style="4"/>
    <col min="3313" max="3313" width="3.5546875" style="4" customWidth="1"/>
    <col min="3314" max="3314" width="30.5546875" style="4" customWidth="1"/>
    <col min="3315" max="3315" width="4.6640625" style="4" customWidth="1"/>
    <col min="3316" max="3316" width="8.6640625" style="4" customWidth="1"/>
    <col min="3317" max="3317" width="4.6640625" style="4" customWidth="1"/>
    <col min="3318" max="3318" width="8.6640625" style="4" customWidth="1"/>
    <col min="3319" max="3319" width="4.6640625" style="4" customWidth="1"/>
    <col min="3320" max="3320" width="8.6640625" style="4" customWidth="1"/>
    <col min="3321" max="3321" width="4.6640625" style="4" customWidth="1"/>
    <col min="3322" max="3322" width="8.6640625" style="4" customWidth="1"/>
    <col min="3323" max="3323" width="1.33203125" style="4" customWidth="1"/>
    <col min="3324" max="3326" width="8.6640625" style="4" customWidth="1"/>
    <col min="3327" max="3327" width="9.88671875" style="4" customWidth="1"/>
    <col min="3328" max="3328" width="6.33203125" style="4" customWidth="1"/>
    <col min="3329" max="3329" width="7.109375" style="4" customWidth="1"/>
    <col min="3330" max="3330" width="4.6640625" style="4" customWidth="1"/>
    <col min="3331" max="3334" width="2.6640625" style="4" customWidth="1"/>
    <col min="3335" max="3335" width="27.88671875" style="4" customWidth="1"/>
    <col min="3336" max="3568" width="9.109375" style="4"/>
    <col min="3569" max="3569" width="3.5546875" style="4" customWidth="1"/>
    <col min="3570" max="3570" width="30.5546875" style="4" customWidth="1"/>
    <col min="3571" max="3571" width="4.6640625" style="4" customWidth="1"/>
    <col min="3572" max="3572" width="8.6640625" style="4" customWidth="1"/>
    <col min="3573" max="3573" width="4.6640625" style="4" customWidth="1"/>
    <col min="3574" max="3574" width="8.6640625" style="4" customWidth="1"/>
    <col min="3575" max="3575" width="4.6640625" style="4" customWidth="1"/>
    <col min="3576" max="3576" width="8.6640625" style="4" customWidth="1"/>
    <col min="3577" max="3577" width="4.6640625" style="4" customWidth="1"/>
    <col min="3578" max="3578" width="8.6640625" style="4" customWidth="1"/>
    <col min="3579" max="3579" width="1.33203125" style="4" customWidth="1"/>
    <col min="3580" max="3582" width="8.6640625" style="4" customWidth="1"/>
    <col min="3583" max="3583" width="9.88671875" style="4" customWidth="1"/>
    <col min="3584" max="3584" width="6.33203125" style="4" customWidth="1"/>
    <col min="3585" max="3585" width="7.109375" style="4" customWidth="1"/>
    <col min="3586" max="3586" width="4.6640625" style="4" customWidth="1"/>
    <col min="3587" max="3590" width="2.6640625" style="4" customWidth="1"/>
    <col min="3591" max="3591" width="27.88671875" style="4" customWidth="1"/>
    <col min="3592" max="3824" width="9.109375" style="4"/>
    <col min="3825" max="3825" width="3.5546875" style="4" customWidth="1"/>
    <col min="3826" max="3826" width="30.5546875" style="4" customWidth="1"/>
    <col min="3827" max="3827" width="4.6640625" style="4" customWidth="1"/>
    <col min="3828" max="3828" width="8.6640625" style="4" customWidth="1"/>
    <col min="3829" max="3829" width="4.6640625" style="4" customWidth="1"/>
    <col min="3830" max="3830" width="8.6640625" style="4" customWidth="1"/>
    <col min="3831" max="3831" width="4.6640625" style="4" customWidth="1"/>
    <col min="3832" max="3832" width="8.6640625" style="4" customWidth="1"/>
    <col min="3833" max="3833" width="4.6640625" style="4" customWidth="1"/>
    <col min="3834" max="3834" width="8.6640625" style="4" customWidth="1"/>
    <col min="3835" max="3835" width="1.33203125" style="4" customWidth="1"/>
    <col min="3836" max="3838" width="8.6640625" style="4" customWidth="1"/>
    <col min="3839" max="3839" width="9.88671875" style="4" customWidth="1"/>
    <col min="3840" max="3840" width="6.33203125" style="4" customWidth="1"/>
    <col min="3841" max="3841" width="7.109375" style="4" customWidth="1"/>
    <col min="3842" max="3842" width="4.6640625" style="4" customWidth="1"/>
    <col min="3843" max="3846" width="2.6640625" style="4" customWidth="1"/>
    <col min="3847" max="3847" width="27.88671875" style="4" customWidth="1"/>
    <col min="3848" max="4080" width="9.109375" style="4"/>
    <col min="4081" max="4081" width="3.5546875" style="4" customWidth="1"/>
    <col min="4082" max="4082" width="30.5546875" style="4" customWidth="1"/>
    <col min="4083" max="4083" width="4.6640625" style="4" customWidth="1"/>
    <col min="4084" max="4084" width="8.6640625" style="4" customWidth="1"/>
    <col min="4085" max="4085" width="4.6640625" style="4" customWidth="1"/>
    <col min="4086" max="4086" width="8.6640625" style="4" customWidth="1"/>
    <col min="4087" max="4087" width="4.6640625" style="4" customWidth="1"/>
    <col min="4088" max="4088" width="8.6640625" style="4" customWidth="1"/>
    <col min="4089" max="4089" width="4.6640625" style="4" customWidth="1"/>
    <col min="4090" max="4090" width="8.6640625" style="4" customWidth="1"/>
    <col min="4091" max="4091" width="1.33203125" style="4" customWidth="1"/>
    <col min="4092" max="4094" width="8.6640625" style="4" customWidth="1"/>
    <col min="4095" max="4095" width="9.88671875" style="4" customWidth="1"/>
    <col min="4096" max="4096" width="6.33203125" style="4" customWidth="1"/>
    <col min="4097" max="4097" width="7.109375" style="4" customWidth="1"/>
    <col min="4098" max="4098" width="4.6640625" style="4" customWidth="1"/>
    <col min="4099" max="4102" width="2.6640625" style="4" customWidth="1"/>
    <col min="4103" max="4103" width="27.88671875" style="4" customWidth="1"/>
    <col min="4104" max="4336" width="9.109375" style="4"/>
    <col min="4337" max="4337" width="3.5546875" style="4" customWidth="1"/>
    <col min="4338" max="4338" width="30.5546875" style="4" customWidth="1"/>
    <col min="4339" max="4339" width="4.6640625" style="4" customWidth="1"/>
    <col min="4340" max="4340" width="8.6640625" style="4" customWidth="1"/>
    <col min="4341" max="4341" width="4.6640625" style="4" customWidth="1"/>
    <col min="4342" max="4342" width="8.6640625" style="4" customWidth="1"/>
    <col min="4343" max="4343" width="4.6640625" style="4" customWidth="1"/>
    <col min="4344" max="4344" width="8.6640625" style="4" customWidth="1"/>
    <col min="4345" max="4345" width="4.6640625" style="4" customWidth="1"/>
    <col min="4346" max="4346" width="8.6640625" style="4" customWidth="1"/>
    <col min="4347" max="4347" width="1.33203125" style="4" customWidth="1"/>
    <col min="4348" max="4350" width="8.6640625" style="4" customWidth="1"/>
    <col min="4351" max="4351" width="9.88671875" style="4" customWidth="1"/>
    <col min="4352" max="4352" width="6.33203125" style="4" customWidth="1"/>
    <col min="4353" max="4353" width="7.109375" style="4" customWidth="1"/>
    <col min="4354" max="4354" width="4.6640625" style="4" customWidth="1"/>
    <col min="4355" max="4358" width="2.6640625" style="4" customWidth="1"/>
    <col min="4359" max="4359" width="27.88671875" style="4" customWidth="1"/>
    <col min="4360" max="4592" width="9.109375" style="4"/>
    <col min="4593" max="4593" width="3.5546875" style="4" customWidth="1"/>
    <col min="4594" max="4594" width="30.5546875" style="4" customWidth="1"/>
    <col min="4595" max="4595" width="4.6640625" style="4" customWidth="1"/>
    <col min="4596" max="4596" width="8.6640625" style="4" customWidth="1"/>
    <col min="4597" max="4597" width="4.6640625" style="4" customWidth="1"/>
    <col min="4598" max="4598" width="8.6640625" style="4" customWidth="1"/>
    <col min="4599" max="4599" width="4.6640625" style="4" customWidth="1"/>
    <col min="4600" max="4600" width="8.6640625" style="4" customWidth="1"/>
    <col min="4601" max="4601" width="4.6640625" style="4" customWidth="1"/>
    <col min="4602" max="4602" width="8.6640625" style="4" customWidth="1"/>
    <col min="4603" max="4603" width="1.33203125" style="4" customWidth="1"/>
    <col min="4604" max="4606" width="8.6640625" style="4" customWidth="1"/>
    <col min="4607" max="4607" width="9.88671875" style="4" customWidth="1"/>
    <col min="4608" max="4608" width="6.33203125" style="4" customWidth="1"/>
    <col min="4609" max="4609" width="7.109375" style="4" customWidth="1"/>
    <col min="4610" max="4610" width="4.6640625" style="4" customWidth="1"/>
    <col min="4611" max="4614" width="2.6640625" style="4" customWidth="1"/>
    <col min="4615" max="4615" width="27.88671875" style="4" customWidth="1"/>
    <col min="4616" max="4848" width="9.109375" style="4"/>
    <col min="4849" max="4849" width="3.5546875" style="4" customWidth="1"/>
    <col min="4850" max="4850" width="30.5546875" style="4" customWidth="1"/>
    <col min="4851" max="4851" width="4.6640625" style="4" customWidth="1"/>
    <col min="4852" max="4852" width="8.6640625" style="4" customWidth="1"/>
    <col min="4853" max="4853" width="4.6640625" style="4" customWidth="1"/>
    <col min="4854" max="4854" width="8.6640625" style="4" customWidth="1"/>
    <col min="4855" max="4855" width="4.6640625" style="4" customWidth="1"/>
    <col min="4856" max="4856" width="8.6640625" style="4" customWidth="1"/>
    <col min="4857" max="4857" width="4.6640625" style="4" customWidth="1"/>
    <col min="4858" max="4858" width="8.6640625" style="4" customWidth="1"/>
    <col min="4859" max="4859" width="1.33203125" style="4" customWidth="1"/>
    <col min="4860" max="4862" width="8.6640625" style="4" customWidth="1"/>
    <col min="4863" max="4863" width="9.88671875" style="4" customWidth="1"/>
    <col min="4864" max="4864" width="6.33203125" style="4" customWidth="1"/>
    <col min="4865" max="4865" width="7.109375" style="4" customWidth="1"/>
    <col min="4866" max="4866" width="4.6640625" style="4" customWidth="1"/>
    <col min="4867" max="4870" width="2.6640625" style="4" customWidth="1"/>
    <col min="4871" max="4871" width="27.88671875" style="4" customWidth="1"/>
    <col min="4872" max="5104" width="9.109375" style="4"/>
    <col min="5105" max="5105" width="3.5546875" style="4" customWidth="1"/>
    <col min="5106" max="5106" width="30.5546875" style="4" customWidth="1"/>
    <col min="5107" max="5107" width="4.6640625" style="4" customWidth="1"/>
    <col min="5108" max="5108" width="8.6640625" style="4" customWidth="1"/>
    <col min="5109" max="5109" width="4.6640625" style="4" customWidth="1"/>
    <col min="5110" max="5110" width="8.6640625" style="4" customWidth="1"/>
    <col min="5111" max="5111" width="4.6640625" style="4" customWidth="1"/>
    <col min="5112" max="5112" width="8.6640625" style="4" customWidth="1"/>
    <col min="5113" max="5113" width="4.6640625" style="4" customWidth="1"/>
    <col min="5114" max="5114" width="8.6640625" style="4" customWidth="1"/>
    <col min="5115" max="5115" width="1.33203125" style="4" customWidth="1"/>
    <col min="5116" max="5118" width="8.6640625" style="4" customWidth="1"/>
    <col min="5119" max="5119" width="9.88671875" style="4" customWidth="1"/>
    <col min="5120" max="5120" width="6.33203125" style="4" customWidth="1"/>
    <col min="5121" max="5121" width="7.109375" style="4" customWidth="1"/>
    <col min="5122" max="5122" width="4.6640625" style="4" customWidth="1"/>
    <col min="5123" max="5126" width="2.6640625" style="4" customWidth="1"/>
    <col min="5127" max="5127" width="27.88671875" style="4" customWidth="1"/>
    <col min="5128" max="5360" width="9.109375" style="4"/>
    <col min="5361" max="5361" width="3.5546875" style="4" customWidth="1"/>
    <col min="5362" max="5362" width="30.5546875" style="4" customWidth="1"/>
    <col min="5363" max="5363" width="4.6640625" style="4" customWidth="1"/>
    <col min="5364" max="5364" width="8.6640625" style="4" customWidth="1"/>
    <col min="5365" max="5365" width="4.6640625" style="4" customWidth="1"/>
    <col min="5366" max="5366" width="8.6640625" style="4" customWidth="1"/>
    <col min="5367" max="5367" width="4.6640625" style="4" customWidth="1"/>
    <col min="5368" max="5368" width="8.6640625" style="4" customWidth="1"/>
    <col min="5369" max="5369" width="4.6640625" style="4" customWidth="1"/>
    <col min="5370" max="5370" width="8.6640625" style="4" customWidth="1"/>
    <col min="5371" max="5371" width="1.33203125" style="4" customWidth="1"/>
    <col min="5372" max="5374" width="8.6640625" style="4" customWidth="1"/>
    <col min="5375" max="5375" width="9.88671875" style="4" customWidth="1"/>
    <col min="5376" max="5376" width="6.33203125" style="4" customWidth="1"/>
    <col min="5377" max="5377" width="7.109375" style="4" customWidth="1"/>
    <col min="5378" max="5378" width="4.6640625" style="4" customWidth="1"/>
    <col min="5379" max="5382" width="2.6640625" style="4" customWidth="1"/>
    <col min="5383" max="5383" width="27.88671875" style="4" customWidth="1"/>
    <col min="5384" max="5616" width="9.109375" style="4"/>
    <col min="5617" max="5617" width="3.5546875" style="4" customWidth="1"/>
    <col min="5618" max="5618" width="30.5546875" style="4" customWidth="1"/>
    <col min="5619" max="5619" width="4.6640625" style="4" customWidth="1"/>
    <col min="5620" max="5620" width="8.6640625" style="4" customWidth="1"/>
    <col min="5621" max="5621" width="4.6640625" style="4" customWidth="1"/>
    <col min="5622" max="5622" width="8.6640625" style="4" customWidth="1"/>
    <col min="5623" max="5623" width="4.6640625" style="4" customWidth="1"/>
    <col min="5624" max="5624" width="8.6640625" style="4" customWidth="1"/>
    <col min="5625" max="5625" width="4.6640625" style="4" customWidth="1"/>
    <col min="5626" max="5626" width="8.6640625" style="4" customWidth="1"/>
    <col min="5627" max="5627" width="1.33203125" style="4" customWidth="1"/>
    <col min="5628" max="5630" width="8.6640625" style="4" customWidth="1"/>
    <col min="5631" max="5631" width="9.88671875" style="4" customWidth="1"/>
    <col min="5632" max="5632" width="6.33203125" style="4" customWidth="1"/>
    <col min="5633" max="5633" width="7.109375" style="4" customWidth="1"/>
    <col min="5634" max="5634" width="4.6640625" style="4" customWidth="1"/>
    <col min="5635" max="5638" width="2.6640625" style="4" customWidth="1"/>
    <col min="5639" max="5639" width="27.88671875" style="4" customWidth="1"/>
    <col min="5640" max="5872" width="9.109375" style="4"/>
    <col min="5873" max="5873" width="3.5546875" style="4" customWidth="1"/>
    <col min="5874" max="5874" width="30.5546875" style="4" customWidth="1"/>
    <col min="5875" max="5875" width="4.6640625" style="4" customWidth="1"/>
    <col min="5876" max="5876" width="8.6640625" style="4" customWidth="1"/>
    <col min="5877" max="5877" width="4.6640625" style="4" customWidth="1"/>
    <col min="5878" max="5878" width="8.6640625" style="4" customWidth="1"/>
    <col min="5879" max="5879" width="4.6640625" style="4" customWidth="1"/>
    <col min="5880" max="5880" width="8.6640625" style="4" customWidth="1"/>
    <col min="5881" max="5881" width="4.6640625" style="4" customWidth="1"/>
    <col min="5882" max="5882" width="8.6640625" style="4" customWidth="1"/>
    <col min="5883" max="5883" width="1.33203125" style="4" customWidth="1"/>
    <col min="5884" max="5886" width="8.6640625" style="4" customWidth="1"/>
    <col min="5887" max="5887" width="9.88671875" style="4" customWidth="1"/>
    <col min="5888" max="5888" width="6.33203125" style="4" customWidth="1"/>
    <col min="5889" max="5889" width="7.109375" style="4" customWidth="1"/>
    <col min="5890" max="5890" width="4.6640625" style="4" customWidth="1"/>
    <col min="5891" max="5894" width="2.6640625" style="4" customWidth="1"/>
    <col min="5895" max="5895" width="27.88671875" style="4" customWidth="1"/>
    <col min="5896" max="6128" width="9.109375" style="4"/>
    <col min="6129" max="6129" width="3.5546875" style="4" customWidth="1"/>
    <col min="6130" max="6130" width="30.5546875" style="4" customWidth="1"/>
    <col min="6131" max="6131" width="4.6640625" style="4" customWidth="1"/>
    <col min="6132" max="6132" width="8.6640625" style="4" customWidth="1"/>
    <col min="6133" max="6133" width="4.6640625" style="4" customWidth="1"/>
    <col min="6134" max="6134" width="8.6640625" style="4" customWidth="1"/>
    <col min="6135" max="6135" width="4.6640625" style="4" customWidth="1"/>
    <col min="6136" max="6136" width="8.6640625" style="4" customWidth="1"/>
    <col min="6137" max="6137" width="4.6640625" style="4" customWidth="1"/>
    <col min="6138" max="6138" width="8.6640625" style="4" customWidth="1"/>
    <col min="6139" max="6139" width="1.33203125" style="4" customWidth="1"/>
    <col min="6140" max="6142" width="8.6640625" style="4" customWidth="1"/>
    <col min="6143" max="6143" width="9.88671875" style="4" customWidth="1"/>
    <col min="6144" max="6144" width="6.33203125" style="4" customWidth="1"/>
    <col min="6145" max="6145" width="7.109375" style="4" customWidth="1"/>
    <col min="6146" max="6146" width="4.6640625" style="4" customWidth="1"/>
    <col min="6147" max="6150" width="2.6640625" style="4" customWidth="1"/>
    <col min="6151" max="6151" width="27.88671875" style="4" customWidth="1"/>
    <col min="6152" max="6384" width="9.109375" style="4"/>
    <col min="6385" max="6385" width="3.5546875" style="4" customWidth="1"/>
    <col min="6386" max="6386" width="30.5546875" style="4" customWidth="1"/>
    <col min="6387" max="6387" width="4.6640625" style="4" customWidth="1"/>
    <col min="6388" max="6388" width="8.6640625" style="4" customWidth="1"/>
    <col min="6389" max="6389" width="4.6640625" style="4" customWidth="1"/>
    <col min="6390" max="6390" width="8.6640625" style="4" customWidth="1"/>
    <col min="6391" max="6391" width="4.6640625" style="4" customWidth="1"/>
    <col min="6392" max="6392" width="8.6640625" style="4" customWidth="1"/>
    <col min="6393" max="6393" width="4.6640625" style="4" customWidth="1"/>
    <col min="6394" max="6394" width="8.6640625" style="4" customWidth="1"/>
    <col min="6395" max="6395" width="1.33203125" style="4" customWidth="1"/>
    <col min="6396" max="6398" width="8.6640625" style="4" customWidth="1"/>
    <col min="6399" max="6399" width="9.88671875" style="4" customWidth="1"/>
    <col min="6400" max="6400" width="6.33203125" style="4" customWidth="1"/>
    <col min="6401" max="6401" width="7.109375" style="4" customWidth="1"/>
    <col min="6402" max="6402" width="4.6640625" style="4" customWidth="1"/>
    <col min="6403" max="6406" width="2.6640625" style="4" customWidth="1"/>
    <col min="6407" max="6407" width="27.88671875" style="4" customWidth="1"/>
    <col min="6408" max="6640" width="9.109375" style="4"/>
    <col min="6641" max="6641" width="3.5546875" style="4" customWidth="1"/>
    <col min="6642" max="6642" width="30.5546875" style="4" customWidth="1"/>
    <col min="6643" max="6643" width="4.6640625" style="4" customWidth="1"/>
    <col min="6644" max="6644" width="8.6640625" style="4" customWidth="1"/>
    <col min="6645" max="6645" width="4.6640625" style="4" customWidth="1"/>
    <col min="6646" max="6646" width="8.6640625" style="4" customWidth="1"/>
    <col min="6647" max="6647" width="4.6640625" style="4" customWidth="1"/>
    <col min="6648" max="6648" width="8.6640625" style="4" customWidth="1"/>
    <col min="6649" max="6649" width="4.6640625" style="4" customWidth="1"/>
    <col min="6650" max="6650" width="8.6640625" style="4" customWidth="1"/>
    <col min="6651" max="6651" width="1.33203125" style="4" customWidth="1"/>
    <col min="6652" max="6654" width="8.6640625" style="4" customWidth="1"/>
    <col min="6655" max="6655" width="9.88671875" style="4" customWidth="1"/>
    <col min="6656" max="6656" width="6.33203125" style="4" customWidth="1"/>
    <col min="6657" max="6657" width="7.109375" style="4" customWidth="1"/>
    <col min="6658" max="6658" width="4.6640625" style="4" customWidth="1"/>
    <col min="6659" max="6662" width="2.6640625" style="4" customWidth="1"/>
    <col min="6663" max="6663" width="27.88671875" style="4" customWidth="1"/>
    <col min="6664" max="6896" width="9.109375" style="4"/>
    <col min="6897" max="6897" width="3.5546875" style="4" customWidth="1"/>
    <col min="6898" max="6898" width="30.5546875" style="4" customWidth="1"/>
    <col min="6899" max="6899" width="4.6640625" style="4" customWidth="1"/>
    <col min="6900" max="6900" width="8.6640625" style="4" customWidth="1"/>
    <col min="6901" max="6901" width="4.6640625" style="4" customWidth="1"/>
    <col min="6902" max="6902" width="8.6640625" style="4" customWidth="1"/>
    <col min="6903" max="6903" width="4.6640625" style="4" customWidth="1"/>
    <col min="6904" max="6904" width="8.6640625" style="4" customWidth="1"/>
    <col min="6905" max="6905" width="4.6640625" style="4" customWidth="1"/>
    <col min="6906" max="6906" width="8.6640625" style="4" customWidth="1"/>
    <col min="6907" max="6907" width="1.33203125" style="4" customWidth="1"/>
    <col min="6908" max="6910" width="8.6640625" style="4" customWidth="1"/>
    <col min="6911" max="6911" width="9.88671875" style="4" customWidth="1"/>
    <col min="6912" max="6912" width="6.33203125" style="4" customWidth="1"/>
    <col min="6913" max="6913" width="7.109375" style="4" customWidth="1"/>
    <col min="6914" max="6914" width="4.6640625" style="4" customWidth="1"/>
    <col min="6915" max="6918" width="2.6640625" style="4" customWidth="1"/>
    <col min="6919" max="6919" width="27.88671875" style="4" customWidth="1"/>
    <col min="6920" max="7152" width="9.109375" style="4"/>
    <col min="7153" max="7153" width="3.5546875" style="4" customWidth="1"/>
    <col min="7154" max="7154" width="30.5546875" style="4" customWidth="1"/>
    <col min="7155" max="7155" width="4.6640625" style="4" customWidth="1"/>
    <col min="7156" max="7156" width="8.6640625" style="4" customWidth="1"/>
    <col min="7157" max="7157" width="4.6640625" style="4" customWidth="1"/>
    <col min="7158" max="7158" width="8.6640625" style="4" customWidth="1"/>
    <col min="7159" max="7159" width="4.6640625" style="4" customWidth="1"/>
    <col min="7160" max="7160" width="8.6640625" style="4" customWidth="1"/>
    <col min="7161" max="7161" width="4.6640625" style="4" customWidth="1"/>
    <col min="7162" max="7162" width="8.6640625" style="4" customWidth="1"/>
    <col min="7163" max="7163" width="1.33203125" style="4" customWidth="1"/>
    <col min="7164" max="7166" width="8.6640625" style="4" customWidth="1"/>
    <col min="7167" max="7167" width="9.88671875" style="4" customWidth="1"/>
    <col min="7168" max="7168" width="6.33203125" style="4" customWidth="1"/>
    <col min="7169" max="7169" width="7.109375" style="4" customWidth="1"/>
    <col min="7170" max="7170" width="4.6640625" style="4" customWidth="1"/>
    <col min="7171" max="7174" width="2.6640625" style="4" customWidth="1"/>
    <col min="7175" max="7175" width="27.88671875" style="4" customWidth="1"/>
    <col min="7176" max="7408" width="9.109375" style="4"/>
    <col min="7409" max="7409" width="3.5546875" style="4" customWidth="1"/>
    <col min="7410" max="7410" width="30.5546875" style="4" customWidth="1"/>
    <col min="7411" max="7411" width="4.6640625" style="4" customWidth="1"/>
    <col min="7412" max="7412" width="8.6640625" style="4" customWidth="1"/>
    <col min="7413" max="7413" width="4.6640625" style="4" customWidth="1"/>
    <col min="7414" max="7414" width="8.6640625" style="4" customWidth="1"/>
    <col min="7415" max="7415" width="4.6640625" style="4" customWidth="1"/>
    <col min="7416" max="7416" width="8.6640625" style="4" customWidth="1"/>
    <col min="7417" max="7417" width="4.6640625" style="4" customWidth="1"/>
    <col min="7418" max="7418" width="8.6640625" style="4" customWidth="1"/>
    <col min="7419" max="7419" width="1.33203125" style="4" customWidth="1"/>
    <col min="7420" max="7422" width="8.6640625" style="4" customWidth="1"/>
    <col min="7423" max="7423" width="9.88671875" style="4" customWidth="1"/>
    <col min="7424" max="7424" width="6.33203125" style="4" customWidth="1"/>
    <col min="7425" max="7425" width="7.109375" style="4" customWidth="1"/>
    <col min="7426" max="7426" width="4.6640625" style="4" customWidth="1"/>
    <col min="7427" max="7430" width="2.6640625" style="4" customWidth="1"/>
    <col min="7431" max="7431" width="27.88671875" style="4" customWidth="1"/>
    <col min="7432" max="7664" width="9.109375" style="4"/>
    <col min="7665" max="7665" width="3.5546875" style="4" customWidth="1"/>
    <col min="7666" max="7666" width="30.5546875" style="4" customWidth="1"/>
    <col min="7667" max="7667" width="4.6640625" style="4" customWidth="1"/>
    <col min="7668" max="7668" width="8.6640625" style="4" customWidth="1"/>
    <col min="7669" max="7669" width="4.6640625" style="4" customWidth="1"/>
    <col min="7670" max="7670" width="8.6640625" style="4" customWidth="1"/>
    <col min="7671" max="7671" width="4.6640625" style="4" customWidth="1"/>
    <col min="7672" max="7672" width="8.6640625" style="4" customWidth="1"/>
    <col min="7673" max="7673" width="4.6640625" style="4" customWidth="1"/>
    <col min="7674" max="7674" width="8.6640625" style="4" customWidth="1"/>
    <col min="7675" max="7675" width="1.33203125" style="4" customWidth="1"/>
    <col min="7676" max="7678" width="8.6640625" style="4" customWidth="1"/>
    <col min="7679" max="7679" width="9.88671875" style="4" customWidth="1"/>
    <col min="7680" max="7680" width="6.33203125" style="4" customWidth="1"/>
    <col min="7681" max="7681" width="7.109375" style="4" customWidth="1"/>
    <col min="7682" max="7682" width="4.6640625" style="4" customWidth="1"/>
    <col min="7683" max="7686" width="2.6640625" style="4" customWidth="1"/>
    <col min="7687" max="7687" width="27.88671875" style="4" customWidth="1"/>
    <col min="7688" max="7920" width="9.109375" style="4"/>
    <col min="7921" max="7921" width="3.5546875" style="4" customWidth="1"/>
    <col min="7922" max="7922" width="30.5546875" style="4" customWidth="1"/>
    <col min="7923" max="7923" width="4.6640625" style="4" customWidth="1"/>
    <col min="7924" max="7924" width="8.6640625" style="4" customWidth="1"/>
    <col min="7925" max="7925" width="4.6640625" style="4" customWidth="1"/>
    <col min="7926" max="7926" width="8.6640625" style="4" customWidth="1"/>
    <col min="7927" max="7927" width="4.6640625" style="4" customWidth="1"/>
    <col min="7928" max="7928" width="8.6640625" style="4" customWidth="1"/>
    <col min="7929" max="7929" width="4.6640625" style="4" customWidth="1"/>
    <col min="7930" max="7930" width="8.6640625" style="4" customWidth="1"/>
    <col min="7931" max="7931" width="1.33203125" style="4" customWidth="1"/>
    <col min="7932" max="7934" width="8.6640625" style="4" customWidth="1"/>
    <col min="7935" max="7935" width="9.88671875" style="4" customWidth="1"/>
    <col min="7936" max="7936" width="6.33203125" style="4" customWidth="1"/>
    <col min="7937" max="7937" width="7.109375" style="4" customWidth="1"/>
    <col min="7938" max="7938" width="4.6640625" style="4" customWidth="1"/>
    <col min="7939" max="7942" width="2.6640625" style="4" customWidth="1"/>
    <col min="7943" max="7943" width="27.88671875" style="4" customWidth="1"/>
    <col min="7944" max="8176" width="9.109375" style="4"/>
    <col min="8177" max="8177" width="3.5546875" style="4" customWidth="1"/>
    <col min="8178" max="8178" width="30.5546875" style="4" customWidth="1"/>
    <col min="8179" max="8179" width="4.6640625" style="4" customWidth="1"/>
    <col min="8180" max="8180" width="8.6640625" style="4" customWidth="1"/>
    <col min="8181" max="8181" width="4.6640625" style="4" customWidth="1"/>
    <col min="8182" max="8182" width="8.6640625" style="4" customWidth="1"/>
    <col min="8183" max="8183" width="4.6640625" style="4" customWidth="1"/>
    <col min="8184" max="8184" width="8.6640625" style="4" customWidth="1"/>
    <col min="8185" max="8185" width="4.6640625" style="4" customWidth="1"/>
    <col min="8186" max="8186" width="8.6640625" style="4" customWidth="1"/>
    <col min="8187" max="8187" width="1.33203125" style="4" customWidth="1"/>
    <col min="8188" max="8190" width="8.6640625" style="4" customWidth="1"/>
    <col min="8191" max="8191" width="9.88671875" style="4" customWidth="1"/>
    <col min="8192" max="8192" width="6.33203125" style="4" customWidth="1"/>
    <col min="8193" max="8193" width="7.109375" style="4" customWidth="1"/>
    <col min="8194" max="8194" width="4.6640625" style="4" customWidth="1"/>
    <col min="8195" max="8198" width="2.6640625" style="4" customWidth="1"/>
    <col min="8199" max="8199" width="27.88671875" style="4" customWidth="1"/>
    <col min="8200" max="8432" width="9.109375" style="4"/>
    <col min="8433" max="8433" width="3.5546875" style="4" customWidth="1"/>
    <col min="8434" max="8434" width="30.5546875" style="4" customWidth="1"/>
    <col min="8435" max="8435" width="4.6640625" style="4" customWidth="1"/>
    <col min="8436" max="8436" width="8.6640625" style="4" customWidth="1"/>
    <col min="8437" max="8437" width="4.6640625" style="4" customWidth="1"/>
    <col min="8438" max="8438" width="8.6640625" style="4" customWidth="1"/>
    <col min="8439" max="8439" width="4.6640625" style="4" customWidth="1"/>
    <col min="8440" max="8440" width="8.6640625" style="4" customWidth="1"/>
    <col min="8441" max="8441" width="4.6640625" style="4" customWidth="1"/>
    <col min="8442" max="8442" width="8.6640625" style="4" customWidth="1"/>
    <col min="8443" max="8443" width="1.33203125" style="4" customWidth="1"/>
    <col min="8444" max="8446" width="8.6640625" style="4" customWidth="1"/>
    <col min="8447" max="8447" width="9.88671875" style="4" customWidth="1"/>
    <col min="8448" max="8448" width="6.33203125" style="4" customWidth="1"/>
    <col min="8449" max="8449" width="7.109375" style="4" customWidth="1"/>
    <col min="8450" max="8450" width="4.6640625" style="4" customWidth="1"/>
    <col min="8451" max="8454" width="2.6640625" style="4" customWidth="1"/>
    <col min="8455" max="8455" width="27.88671875" style="4" customWidth="1"/>
    <col min="8456" max="8688" width="9.109375" style="4"/>
    <col min="8689" max="8689" width="3.5546875" style="4" customWidth="1"/>
    <col min="8690" max="8690" width="30.5546875" style="4" customWidth="1"/>
    <col min="8691" max="8691" width="4.6640625" style="4" customWidth="1"/>
    <col min="8692" max="8692" width="8.6640625" style="4" customWidth="1"/>
    <col min="8693" max="8693" width="4.6640625" style="4" customWidth="1"/>
    <col min="8694" max="8694" width="8.6640625" style="4" customWidth="1"/>
    <col min="8695" max="8695" width="4.6640625" style="4" customWidth="1"/>
    <col min="8696" max="8696" width="8.6640625" style="4" customWidth="1"/>
    <col min="8697" max="8697" width="4.6640625" style="4" customWidth="1"/>
    <col min="8698" max="8698" width="8.6640625" style="4" customWidth="1"/>
    <col min="8699" max="8699" width="1.33203125" style="4" customWidth="1"/>
    <col min="8700" max="8702" width="8.6640625" style="4" customWidth="1"/>
    <col min="8703" max="8703" width="9.88671875" style="4" customWidth="1"/>
    <col min="8704" max="8704" width="6.33203125" style="4" customWidth="1"/>
    <col min="8705" max="8705" width="7.109375" style="4" customWidth="1"/>
    <col min="8706" max="8706" width="4.6640625" style="4" customWidth="1"/>
    <col min="8707" max="8710" width="2.6640625" style="4" customWidth="1"/>
    <col min="8711" max="8711" width="27.88671875" style="4" customWidth="1"/>
    <col min="8712" max="8944" width="9.109375" style="4"/>
    <col min="8945" max="8945" width="3.5546875" style="4" customWidth="1"/>
    <col min="8946" max="8946" width="30.5546875" style="4" customWidth="1"/>
    <col min="8947" max="8947" width="4.6640625" style="4" customWidth="1"/>
    <col min="8948" max="8948" width="8.6640625" style="4" customWidth="1"/>
    <col min="8949" max="8949" width="4.6640625" style="4" customWidth="1"/>
    <col min="8950" max="8950" width="8.6640625" style="4" customWidth="1"/>
    <col min="8951" max="8951" width="4.6640625" style="4" customWidth="1"/>
    <col min="8952" max="8952" width="8.6640625" style="4" customWidth="1"/>
    <col min="8953" max="8953" width="4.6640625" style="4" customWidth="1"/>
    <col min="8954" max="8954" width="8.6640625" style="4" customWidth="1"/>
    <col min="8955" max="8955" width="1.33203125" style="4" customWidth="1"/>
    <col min="8956" max="8958" width="8.6640625" style="4" customWidth="1"/>
    <col min="8959" max="8959" width="9.88671875" style="4" customWidth="1"/>
    <col min="8960" max="8960" width="6.33203125" style="4" customWidth="1"/>
    <col min="8961" max="8961" width="7.109375" style="4" customWidth="1"/>
    <col min="8962" max="8962" width="4.6640625" style="4" customWidth="1"/>
    <col min="8963" max="8966" width="2.6640625" style="4" customWidth="1"/>
    <col min="8967" max="8967" width="27.88671875" style="4" customWidth="1"/>
    <col min="8968" max="9200" width="9.109375" style="4"/>
    <col min="9201" max="9201" width="3.5546875" style="4" customWidth="1"/>
    <col min="9202" max="9202" width="30.5546875" style="4" customWidth="1"/>
    <col min="9203" max="9203" width="4.6640625" style="4" customWidth="1"/>
    <col min="9204" max="9204" width="8.6640625" style="4" customWidth="1"/>
    <col min="9205" max="9205" width="4.6640625" style="4" customWidth="1"/>
    <col min="9206" max="9206" width="8.6640625" style="4" customWidth="1"/>
    <col min="9207" max="9207" width="4.6640625" style="4" customWidth="1"/>
    <col min="9208" max="9208" width="8.6640625" style="4" customWidth="1"/>
    <col min="9209" max="9209" width="4.6640625" style="4" customWidth="1"/>
    <col min="9210" max="9210" width="8.6640625" style="4" customWidth="1"/>
    <col min="9211" max="9211" width="1.33203125" style="4" customWidth="1"/>
    <col min="9212" max="9214" width="8.6640625" style="4" customWidth="1"/>
    <col min="9215" max="9215" width="9.88671875" style="4" customWidth="1"/>
    <col min="9216" max="9216" width="6.33203125" style="4" customWidth="1"/>
    <col min="9217" max="9217" width="7.109375" style="4" customWidth="1"/>
    <col min="9218" max="9218" width="4.6640625" style="4" customWidth="1"/>
    <col min="9219" max="9222" width="2.6640625" style="4" customWidth="1"/>
    <col min="9223" max="9223" width="27.88671875" style="4" customWidth="1"/>
    <col min="9224" max="9456" width="9.109375" style="4"/>
    <col min="9457" max="9457" width="3.5546875" style="4" customWidth="1"/>
    <col min="9458" max="9458" width="30.5546875" style="4" customWidth="1"/>
    <col min="9459" max="9459" width="4.6640625" style="4" customWidth="1"/>
    <col min="9460" max="9460" width="8.6640625" style="4" customWidth="1"/>
    <col min="9461" max="9461" width="4.6640625" style="4" customWidth="1"/>
    <col min="9462" max="9462" width="8.6640625" style="4" customWidth="1"/>
    <col min="9463" max="9463" width="4.6640625" style="4" customWidth="1"/>
    <col min="9464" max="9464" width="8.6640625" style="4" customWidth="1"/>
    <col min="9465" max="9465" width="4.6640625" style="4" customWidth="1"/>
    <col min="9466" max="9466" width="8.6640625" style="4" customWidth="1"/>
    <col min="9467" max="9467" width="1.33203125" style="4" customWidth="1"/>
    <col min="9468" max="9470" width="8.6640625" style="4" customWidth="1"/>
    <col min="9471" max="9471" width="9.88671875" style="4" customWidth="1"/>
    <col min="9472" max="9472" width="6.33203125" style="4" customWidth="1"/>
    <col min="9473" max="9473" width="7.109375" style="4" customWidth="1"/>
    <col min="9474" max="9474" width="4.6640625" style="4" customWidth="1"/>
    <col min="9475" max="9478" width="2.6640625" style="4" customWidth="1"/>
    <col min="9479" max="9479" width="27.88671875" style="4" customWidth="1"/>
    <col min="9480" max="9712" width="9.109375" style="4"/>
    <col min="9713" max="9713" width="3.5546875" style="4" customWidth="1"/>
    <col min="9714" max="9714" width="30.5546875" style="4" customWidth="1"/>
    <col min="9715" max="9715" width="4.6640625" style="4" customWidth="1"/>
    <col min="9716" max="9716" width="8.6640625" style="4" customWidth="1"/>
    <col min="9717" max="9717" width="4.6640625" style="4" customWidth="1"/>
    <col min="9718" max="9718" width="8.6640625" style="4" customWidth="1"/>
    <col min="9719" max="9719" width="4.6640625" style="4" customWidth="1"/>
    <col min="9720" max="9720" width="8.6640625" style="4" customWidth="1"/>
    <col min="9721" max="9721" width="4.6640625" style="4" customWidth="1"/>
    <col min="9722" max="9722" width="8.6640625" style="4" customWidth="1"/>
    <col min="9723" max="9723" width="1.33203125" style="4" customWidth="1"/>
    <col min="9724" max="9726" width="8.6640625" style="4" customWidth="1"/>
    <col min="9727" max="9727" width="9.88671875" style="4" customWidth="1"/>
    <col min="9728" max="9728" width="6.33203125" style="4" customWidth="1"/>
    <col min="9729" max="9729" width="7.109375" style="4" customWidth="1"/>
    <col min="9730" max="9730" width="4.6640625" style="4" customWidth="1"/>
    <col min="9731" max="9734" width="2.6640625" style="4" customWidth="1"/>
    <col min="9735" max="9735" width="27.88671875" style="4" customWidth="1"/>
    <col min="9736" max="9968" width="9.109375" style="4"/>
    <col min="9969" max="9969" width="3.5546875" style="4" customWidth="1"/>
    <col min="9970" max="9970" width="30.5546875" style="4" customWidth="1"/>
    <col min="9971" max="9971" width="4.6640625" style="4" customWidth="1"/>
    <col min="9972" max="9972" width="8.6640625" style="4" customWidth="1"/>
    <col min="9973" max="9973" width="4.6640625" style="4" customWidth="1"/>
    <col min="9974" max="9974" width="8.6640625" style="4" customWidth="1"/>
    <col min="9975" max="9975" width="4.6640625" style="4" customWidth="1"/>
    <col min="9976" max="9976" width="8.6640625" style="4" customWidth="1"/>
    <col min="9977" max="9977" width="4.6640625" style="4" customWidth="1"/>
    <col min="9978" max="9978" width="8.6640625" style="4" customWidth="1"/>
    <col min="9979" max="9979" width="1.33203125" style="4" customWidth="1"/>
    <col min="9980" max="9982" width="8.6640625" style="4" customWidth="1"/>
    <col min="9983" max="9983" width="9.88671875" style="4" customWidth="1"/>
    <col min="9984" max="9984" width="6.33203125" style="4" customWidth="1"/>
    <col min="9985" max="9985" width="7.109375" style="4" customWidth="1"/>
    <col min="9986" max="9986" width="4.6640625" style="4" customWidth="1"/>
    <col min="9987" max="9990" width="2.6640625" style="4" customWidth="1"/>
    <col min="9991" max="9991" width="27.88671875" style="4" customWidth="1"/>
    <col min="9992" max="10224" width="9.109375" style="4"/>
    <col min="10225" max="10225" width="3.5546875" style="4" customWidth="1"/>
    <col min="10226" max="10226" width="30.5546875" style="4" customWidth="1"/>
    <col min="10227" max="10227" width="4.6640625" style="4" customWidth="1"/>
    <col min="10228" max="10228" width="8.6640625" style="4" customWidth="1"/>
    <col min="10229" max="10229" width="4.6640625" style="4" customWidth="1"/>
    <col min="10230" max="10230" width="8.6640625" style="4" customWidth="1"/>
    <col min="10231" max="10231" width="4.6640625" style="4" customWidth="1"/>
    <col min="10232" max="10232" width="8.6640625" style="4" customWidth="1"/>
    <col min="10233" max="10233" width="4.6640625" style="4" customWidth="1"/>
    <col min="10234" max="10234" width="8.6640625" style="4" customWidth="1"/>
    <col min="10235" max="10235" width="1.33203125" style="4" customWidth="1"/>
    <col min="10236" max="10238" width="8.6640625" style="4" customWidth="1"/>
    <col min="10239" max="10239" width="9.88671875" style="4" customWidth="1"/>
    <col min="10240" max="10240" width="6.33203125" style="4" customWidth="1"/>
    <col min="10241" max="10241" width="7.109375" style="4" customWidth="1"/>
    <col min="10242" max="10242" width="4.6640625" style="4" customWidth="1"/>
    <col min="10243" max="10246" width="2.6640625" style="4" customWidth="1"/>
    <col min="10247" max="10247" width="27.88671875" style="4" customWidth="1"/>
    <col min="10248" max="10480" width="9.109375" style="4"/>
    <col min="10481" max="10481" width="3.5546875" style="4" customWidth="1"/>
    <col min="10482" max="10482" width="30.5546875" style="4" customWidth="1"/>
    <col min="10483" max="10483" width="4.6640625" style="4" customWidth="1"/>
    <col min="10484" max="10484" width="8.6640625" style="4" customWidth="1"/>
    <col min="10485" max="10485" width="4.6640625" style="4" customWidth="1"/>
    <col min="10486" max="10486" width="8.6640625" style="4" customWidth="1"/>
    <col min="10487" max="10487" width="4.6640625" style="4" customWidth="1"/>
    <col min="10488" max="10488" width="8.6640625" style="4" customWidth="1"/>
    <col min="10489" max="10489" width="4.6640625" style="4" customWidth="1"/>
    <col min="10490" max="10490" width="8.6640625" style="4" customWidth="1"/>
    <col min="10491" max="10491" width="1.33203125" style="4" customWidth="1"/>
    <col min="10492" max="10494" width="8.6640625" style="4" customWidth="1"/>
    <col min="10495" max="10495" width="9.88671875" style="4" customWidth="1"/>
    <col min="10496" max="10496" width="6.33203125" style="4" customWidth="1"/>
    <col min="10497" max="10497" width="7.109375" style="4" customWidth="1"/>
    <col min="10498" max="10498" width="4.6640625" style="4" customWidth="1"/>
    <col min="10499" max="10502" width="2.6640625" style="4" customWidth="1"/>
    <col min="10503" max="10503" width="27.88671875" style="4" customWidth="1"/>
    <col min="10504" max="10736" width="9.109375" style="4"/>
    <col min="10737" max="10737" width="3.5546875" style="4" customWidth="1"/>
    <col min="10738" max="10738" width="30.5546875" style="4" customWidth="1"/>
    <col min="10739" max="10739" width="4.6640625" style="4" customWidth="1"/>
    <col min="10740" max="10740" width="8.6640625" style="4" customWidth="1"/>
    <col min="10741" max="10741" width="4.6640625" style="4" customWidth="1"/>
    <col min="10742" max="10742" width="8.6640625" style="4" customWidth="1"/>
    <col min="10743" max="10743" width="4.6640625" style="4" customWidth="1"/>
    <col min="10744" max="10744" width="8.6640625" style="4" customWidth="1"/>
    <col min="10745" max="10745" width="4.6640625" style="4" customWidth="1"/>
    <col min="10746" max="10746" width="8.6640625" style="4" customWidth="1"/>
    <col min="10747" max="10747" width="1.33203125" style="4" customWidth="1"/>
    <col min="10748" max="10750" width="8.6640625" style="4" customWidth="1"/>
    <col min="10751" max="10751" width="9.88671875" style="4" customWidth="1"/>
    <col min="10752" max="10752" width="6.33203125" style="4" customWidth="1"/>
    <col min="10753" max="10753" width="7.109375" style="4" customWidth="1"/>
    <col min="10754" max="10754" width="4.6640625" style="4" customWidth="1"/>
    <col min="10755" max="10758" width="2.6640625" style="4" customWidth="1"/>
    <col min="10759" max="10759" width="27.88671875" style="4" customWidth="1"/>
    <col min="10760" max="10992" width="9.109375" style="4"/>
    <col min="10993" max="10993" width="3.5546875" style="4" customWidth="1"/>
    <col min="10994" max="10994" width="30.5546875" style="4" customWidth="1"/>
    <col min="10995" max="10995" width="4.6640625" style="4" customWidth="1"/>
    <col min="10996" max="10996" width="8.6640625" style="4" customWidth="1"/>
    <col min="10997" max="10997" width="4.6640625" style="4" customWidth="1"/>
    <col min="10998" max="10998" width="8.6640625" style="4" customWidth="1"/>
    <col min="10999" max="10999" width="4.6640625" style="4" customWidth="1"/>
    <col min="11000" max="11000" width="8.6640625" style="4" customWidth="1"/>
    <col min="11001" max="11001" width="4.6640625" style="4" customWidth="1"/>
    <col min="11002" max="11002" width="8.6640625" style="4" customWidth="1"/>
    <col min="11003" max="11003" width="1.33203125" style="4" customWidth="1"/>
    <col min="11004" max="11006" width="8.6640625" style="4" customWidth="1"/>
    <col min="11007" max="11007" width="9.88671875" style="4" customWidth="1"/>
    <col min="11008" max="11008" width="6.33203125" style="4" customWidth="1"/>
    <col min="11009" max="11009" width="7.109375" style="4" customWidth="1"/>
    <col min="11010" max="11010" width="4.6640625" style="4" customWidth="1"/>
    <col min="11011" max="11014" width="2.6640625" style="4" customWidth="1"/>
    <col min="11015" max="11015" width="27.88671875" style="4" customWidth="1"/>
    <col min="11016" max="11248" width="9.109375" style="4"/>
    <col min="11249" max="11249" width="3.5546875" style="4" customWidth="1"/>
    <col min="11250" max="11250" width="30.5546875" style="4" customWidth="1"/>
    <col min="11251" max="11251" width="4.6640625" style="4" customWidth="1"/>
    <col min="11252" max="11252" width="8.6640625" style="4" customWidth="1"/>
    <col min="11253" max="11253" width="4.6640625" style="4" customWidth="1"/>
    <col min="11254" max="11254" width="8.6640625" style="4" customWidth="1"/>
    <col min="11255" max="11255" width="4.6640625" style="4" customWidth="1"/>
    <col min="11256" max="11256" width="8.6640625" style="4" customWidth="1"/>
    <col min="11257" max="11257" width="4.6640625" style="4" customWidth="1"/>
    <col min="11258" max="11258" width="8.6640625" style="4" customWidth="1"/>
    <col min="11259" max="11259" width="1.33203125" style="4" customWidth="1"/>
    <col min="11260" max="11262" width="8.6640625" style="4" customWidth="1"/>
    <col min="11263" max="11263" width="9.88671875" style="4" customWidth="1"/>
    <col min="11264" max="11264" width="6.33203125" style="4" customWidth="1"/>
    <col min="11265" max="11265" width="7.109375" style="4" customWidth="1"/>
    <col min="11266" max="11266" width="4.6640625" style="4" customWidth="1"/>
    <col min="11267" max="11270" width="2.6640625" style="4" customWidth="1"/>
    <col min="11271" max="11271" width="27.88671875" style="4" customWidth="1"/>
    <col min="11272" max="11504" width="9.109375" style="4"/>
    <col min="11505" max="11505" width="3.5546875" style="4" customWidth="1"/>
    <col min="11506" max="11506" width="30.5546875" style="4" customWidth="1"/>
    <col min="11507" max="11507" width="4.6640625" style="4" customWidth="1"/>
    <col min="11508" max="11508" width="8.6640625" style="4" customWidth="1"/>
    <col min="11509" max="11509" width="4.6640625" style="4" customWidth="1"/>
    <col min="11510" max="11510" width="8.6640625" style="4" customWidth="1"/>
    <col min="11511" max="11511" width="4.6640625" style="4" customWidth="1"/>
    <col min="11512" max="11512" width="8.6640625" style="4" customWidth="1"/>
    <col min="11513" max="11513" width="4.6640625" style="4" customWidth="1"/>
    <col min="11514" max="11514" width="8.6640625" style="4" customWidth="1"/>
    <col min="11515" max="11515" width="1.33203125" style="4" customWidth="1"/>
    <col min="11516" max="11518" width="8.6640625" style="4" customWidth="1"/>
    <col min="11519" max="11519" width="9.88671875" style="4" customWidth="1"/>
    <col min="11520" max="11520" width="6.33203125" style="4" customWidth="1"/>
    <col min="11521" max="11521" width="7.109375" style="4" customWidth="1"/>
    <col min="11522" max="11522" width="4.6640625" style="4" customWidth="1"/>
    <col min="11523" max="11526" width="2.6640625" style="4" customWidth="1"/>
    <col min="11527" max="11527" width="27.88671875" style="4" customWidth="1"/>
    <col min="11528" max="11760" width="9.109375" style="4"/>
    <col min="11761" max="11761" width="3.5546875" style="4" customWidth="1"/>
    <col min="11762" max="11762" width="30.5546875" style="4" customWidth="1"/>
    <col min="11763" max="11763" width="4.6640625" style="4" customWidth="1"/>
    <col min="11764" max="11764" width="8.6640625" style="4" customWidth="1"/>
    <col min="11765" max="11765" width="4.6640625" style="4" customWidth="1"/>
    <col min="11766" max="11766" width="8.6640625" style="4" customWidth="1"/>
    <col min="11767" max="11767" width="4.6640625" style="4" customWidth="1"/>
    <col min="11768" max="11768" width="8.6640625" style="4" customWidth="1"/>
    <col min="11769" max="11769" width="4.6640625" style="4" customWidth="1"/>
    <col min="11770" max="11770" width="8.6640625" style="4" customWidth="1"/>
    <col min="11771" max="11771" width="1.33203125" style="4" customWidth="1"/>
    <col min="11772" max="11774" width="8.6640625" style="4" customWidth="1"/>
    <col min="11775" max="11775" width="9.88671875" style="4" customWidth="1"/>
    <col min="11776" max="11776" width="6.33203125" style="4" customWidth="1"/>
    <col min="11777" max="11777" width="7.109375" style="4" customWidth="1"/>
    <col min="11778" max="11778" width="4.6640625" style="4" customWidth="1"/>
    <col min="11779" max="11782" width="2.6640625" style="4" customWidth="1"/>
    <col min="11783" max="11783" width="27.88671875" style="4" customWidth="1"/>
    <col min="11784" max="12016" width="9.109375" style="4"/>
    <col min="12017" max="12017" width="3.5546875" style="4" customWidth="1"/>
    <col min="12018" max="12018" width="30.5546875" style="4" customWidth="1"/>
    <col min="12019" max="12019" width="4.6640625" style="4" customWidth="1"/>
    <col min="12020" max="12020" width="8.6640625" style="4" customWidth="1"/>
    <col min="12021" max="12021" width="4.6640625" style="4" customWidth="1"/>
    <col min="12022" max="12022" width="8.6640625" style="4" customWidth="1"/>
    <col min="12023" max="12023" width="4.6640625" style="4" customWidth="1"/>
    <col min="12024" max="12024" width="8.6640625" style="4" customWidth="1"/>
    <col min="12025" max="12025" width="4.6640625" style="4" customWidth="1"/>
    <col min="12026" max="12026" width="8.6640625" style="4" customWidth="1"/>
    <col min="12027" max="12027" width="1.33203125" style="4" customWidth="1"/>
    <col min="12028" max="12030" width="8.6640625" style="4" customWidth="1"/>
    <col min="12031" max="12031" width="9.88671875" style="4" customWidth="1"/>
    <col min="12032" max="12032" width="6.33203125" style="4" customWidth="1"/>
    <col min="12033" max="12033" width="7.109375" style="4" customWidth="1"/>
    <col min="12034" max="12034" width="4.6640625" style="4" customWidth="1"/>
    <col min="12035" max="12038" width="2.6640625" style="4" customWidth="1"/>
    <col min="12039" max="12039" width="27.88671875" style="4" customWidth="1"/>
    <col min="12040" max="12272" width="9.109375" style="4"/>
    <col min="12273" max="12273" width="3.5546875" style="4" customWidth="1"/>
    <col min="12274" max="12274" width="30.5546875" style="4" customWidth="1"/>
    <col min="12275" max="12275" width="4.6640625" style="4" customWidth="1"/>
    <col min="12276" max="12276" width="8.6640625" style="4" customWidth="1"/>
    <col min="12277" max="12277" width="4.6640625" style="4" customWidth="1"/>
    <col min="12278" max="12278" width="8.6640625" style="4" customWidth="1"/>
    <col min="12279" max="12279" width="4.6640625" style="4" customWidth="1"/>
    <col min="12280" max="12280" width="8.6640625" style="4" customWidth="1"/>
    <col min="12281" max="12281" width="4.6640625" style="4" customWidth="1"/>
    <col min="12282" max="12282" width="8.6640625" style="4" customWidth="1"/>
    <col min="12283" max="12283" width="1.33203125" style="4" customWidth="1"/>
    <col min="12284" max="12286" width="8.6640625" style="4" customWidth="1"/>
    <col min="12287" max="12287" width="9.88671875" style="4" customWidth="1"/>
    <col min="12288" max="12288" width="6.33203125" style="4" customWidth="1"/>
    <col min="12289" max="12289" width="7.109375" style="4" customWidth="1"/>
    <col min="12290" max="12290" width="4.6640625" style="4" customWidth="1"/>
    <col min="12291" max="12294" width="2.6640625" style="4" customWidth="1"/>
    <col min="12295" max="12295" width="27.88671875" style="4" customWidth="1"/>
    <col min="12296" max="12528" width="9.109375" style="4"/>
    <col min="12529" max="12529" width="3.5546875" style="4" customWidth="1"/>
    <col min="12530" max="12530" width="30.5546875" style="4" customWidth="1"/>
    <col min="12531" max="12531" width="4.6640625" style="4" customWidth="1"/>
    <col min="12532" max="12532" width="8.6640625" style="4" customWidth="1"/>
    <col min="12533" max="12533" width="4.6640625" style="4" customWidth="1"/>
    <col min="12534" max="12534" width="8.6640625" style="4" customWidth="1"/>
    <col min="12535" max="12535" width="4.6640625" style="4" customWidth="1"/>
    <col min="12536" max="12536" width="8.6640625" style="4" customWidth="1"/>
    <col min="12537" max="12537" width="4.6640625" style="4" customWidth="1"/>
    <col min="12538" max="12538" width="8.6640625" style="4" customWidth="1"/>
    <col min="12539" max="12539" width="1.33203125" style="4" customWidth="1"/>
    <col min="12540" max="12542" width="8.6640625" style="4" customWidth="1"/>
    <col min="12543" max="12543" width="9.88671875" style="4" customWidth="1"/>
    <col min="12544" max="12544" width="6.33203125" style="4" customWidth="1"/>
    <col min="12545" max="12545" width="7.109375" style="4" customWidth="1"/>
    <col min="12546" max="12546" width="4.6640625" style="4" customWidth="1"/>
    <col min="12547" max="12550" width="2.6640625" style="4" customWidth="1"/>
    <col min="12551" max="12551" width="27.88671875" style="4" customWidth="1"/>
    <col min="12552" max="12784" width="9.109375" style="4"/>
    <col min="12785" max="12785" width="3.5546875" style="4" customWidth="1"/>
    <col min="12786" max="12786" width="30.5546875" style="4" customWidth="1"/>
    <col min="12787" max="12787" width="4.6640625" style="4" customWidth="1"/>
    <col min="12788" max="12788" width="8.6640625" style="4" customWidth="1"/>
    <col min="12789" max="12789" width="4.6640625" style="4" customWidth="1"/>
    <col min="12790" max="12790" width="8.6640625" style="4" customWidth="1"/>
    <col min="12791" max="12791" width="4.6640625" style="4" customWidth="1"/>
    <col min="12792" max="12792" width="8.6640625" style="4" customWidth="1"/>
    <col min="12793" max="12793" width="4.6640625" style="4" customWidth="1"/>
    <col min="12794" max="12794" width="8.6640625" style="4" customWidth="1"/>
    <col min="12795" max="12795" width="1.33203125" style="4" customWidth="1"/>
    <col min="12796" max="12798" width="8.6640625" style="4" customWidth="1"/>
    <col min="12799" max="12799" width="9.88671875" style="4" customWidth="1"/>
    <col min="12800" max="12800" width="6.33203125" style="4" customWidth="1"/>
    <col min="12801" max="12801" width="7.109375" style="4" customWidth="1"/>
    <col min="12802" max="12802" width="4.6640625" style="4" customWidth="1"/>
    <col min="12803" max="12806" width="2.6640625" style="4" customWidth="1"/>
    <col min="12807" max="12807" width="27.88671875" style="4" customWidth="1"/>
    <col min="12808" max="13040" width="9.109375" style="4"/>
    <col min="13041" max="13041" width="3.5546875" style="4" customWidth="1"/>
    <col min="13042" max="13042" width="30.5546875" style="4" customWidth="1"/>
    <col min="13043" max="13043" width="4.6640625" style="4" customWidth="1"/>
    <col min="13044" max="13044" width="8.6640625" style="4" customWidth="1"/>
    <col min="13045" max="13045" width="4.6640625" style="4" customWidth="1"/>
    <col min="13046" max="13046" width="8.6640625" style="4" customWidth="1"/>
    <col min="13047" max="13047" width="4.6640625" style="4" customWidth="1"/>
    <col min="13048" max="13048" width="8.6640625" style="4" customWidth="1"/>
    <col min="13049" max="13049" width="4.6640625" style="4" customWidth="1"/>
    <col min="13050" max="13050" width="8.6640625" style="4" customWidth="1"/>
    <col min="13051" max="13051" width="1.33203125" style="4" customWidth="1"/>
    <col min="13052" max="13054" width="8.6640625" style="4" customWidth="1"/>
    <col min="13055" max="13055" width="9.88671875" style="4" customWidth="1"/>
    <col min="13056" max="13056" width="6.33203125" style="4" customWidth="1"/>
    <col min="13057" max="13057" width="7.109375" style="4" customWidth="1"/>
    <col min="13058" max="13058" width="4.6640625" style="4" customWidth="1"/>
    <col min="13059" max="13062" width="2.6640625" style="4" customWidth="1"/>
    <col min="13063" max="13063" width="27.88671875" style="4" customWidth="1"/>
    <col min="13064" max="13296" width="9.109375" style="4"/>
    <col min="13297" max="13297" width="3.5546875" style="4" customWidth="1"/>
    <col min="13298" max="13298" width="30.5546875" style="4" customWidth="1"/>
    <col min="13299" max="13299" width="4.6640625" style="4" customWidth="1"/>
    <col min="13300" max="13300" width="8.6640625" style="4" customWidth="1"/>
    <col min="13301" max="13301" width="4.6640625" style="4" customWidth="1"/>
    <col min="13302" max="13302" width="8.6640625" style="4" customWidth="1"/>
    <col min="13303" max="13303" width="4.6640625" style="4" customWidth="1"/>
    <col min="13304" max="13304" width="8.6640625" style="4" customWidth="1"/>
    <col min="13305" max="13305" width="4.6640625" style="4" customWidth="1"/>
    <col min="13306" max="13306" width="8.6640625" style="4" customWidth="1"/>
    <col min="13307" max="13307" width="1.33203125" style="4" customWidth="1"/>
    <col min="13308" max="13310" width="8.6640625" style="4" customWidth="1"/>
    <col min="13311" max="13311" width="9.88671875" style="4" customWidth="1"/>
    <col min="13312" max="13312" width="6.33203125" style="4" customWidth="1"/>
    <col min="13313" max="13313" width="7.109375" style="4" customWidth="1"/>
    <col min="13314" max="13314" width="4.6640625" style="4" customWidth="1"/>
    <col min="13315" max="13318" width="2.6640625" style="4" customWidth="1"/>
    <col min="13319" max="13319" width="27.88671875" style="4" customWidth="1"/>
    <col min="13320" max="13552" width="9.109375" style="4"/>
    <col min="13553" max="13553" width="3.5546875" style="4" customWidth="1"/>
    <col min="13554" max="13554" width="30.5546875" style="4" customWidth="1"/>
    <col min="13555" max="13555" width="4.6640625" style="4" customWidth="1"/>
    <col min="13556" max="13556" width="8.6640625" style="4" customWidth="1"/>
    <col min="13557" max="13557" width="4.6640625" style="4" customWidth="1"/>
    <col min="13558" max="13558" width="8.6640625" style="4" customWidth="1"/>
    <col min="13559" max="13559" width="4.6640625" style="4" customWidth="1"/>
    <col min="13560" max="13560" width="8.6640625" style="4" customWidth="1"/>
    <col min="13561" max="13561" width="4.6640625" style="4" customWidth="1"/>
    <col min="13562" max="13562" width="8.6640625" style="4" customWidth="1"/>
    <col min="13563" max="13563" width="1.33203125" style="4" customWidth="1"/>
    <col min="13564" max="13566" width="8.6640625" style="4" customWidth="1"/>
    <col min="13567" max="13567" width="9.88671875" style="4" customWidth="1"/>
    <col min="13568" max="13568" width="6.33203125" style="4" customWidth="1"/>
    <col min="13569" max="13569" width="7.109375" style="4" customWidth="1"/>
    <col min="13570" max="13570" width="4.6640625" style="4" customWidth="1"/>
    <col min="13571" max="13574" width="2.6640625" style="4" customWidth="1"/>
    <col min="13575" max="13575" width="27.88671875" style="4" customWidth="1"/>
    <col min="13576" max="13808" width="9.109375" style="4"/>
    <col min="13809" max="13809" width="3.5546875" style="4" customWidth="1"/>
    <col min="13810" max="13810" width="30.5546875" style="4" customWidth="1"/>
    <col min="13811" max="13811" width="4.6640625" style="4" customWidth="1"/>
    <col min="13812" max="13812" width="8.6640625" style="4" customWidth="1"/>
    <col min="13813" max="13813" width="4.6640625" style="4" customWidth="1"/>
    <col min="13814" max="13814" width="8.6640625" style="4" customWidth="1"/>
    <col min="13815" max="13815" width="4.6640625" style="4" customWidth="1"/>
    <col min="13816" max="13816" width="8.6640625" style="4" customWidth="1"/>
    <col min="13817" max="13817" width="4.6640625" style="4" customWidth="1"/>
    <col min="13818" max="13818" width="8.6640625" style="4" customWidth="1"/>
    <col min="13819" max="13819" width="1.33203125" style="4" customWidth="1"/>
    <col min="13820" max="13822" width="8.6640625" style="4" customWidth="1"/>
    <col min="13823" max="13823" width="9.88671875" style="4" customWidth="1"/>
    <col min="13824" max="13824" width="6.33203125" style="4" customWidth="1"/>
    <col min="13825" max="13825" width="7.109375" style="4" customWidth="1"/>
    <col min="13826" max="13826" width="4.6640625" style="4" customWidth="1"/>
    <col min="13827" max="13830" width="2.6640625" style="4" customWidth="1"/>
    <col min="13831" max="13831" width="27.88671875" style="4" customWidth="1"/>
    <col min="13832" max="14064" width="9.109375" style="4"/>
    <col min="14065" max="14065" width="3.5546875" style="4" customWidth="1"/>
    <col min="14066" max="14066" width="30.5546875" style="4" customWidth="1"/>
    <col min="14067" max="14067" width="4.6640625" style="4" customWidth="1"/>
    <col min="14068" max="14068" width="8.6640625" style="4" customWidth="1"/>
    <col min="14069" max="14069" width="4.6640625" style="4" customWidth="1"/>
    <col min="14070" max="14070" width="8.6640625" style="4" customWidth="1"/>
    <col min="14071" max="14071" width="4.6640625" style="4" customWidth="1"/>
    <col min="14072" max="14072" width="8.6640625" style="4" customWidth="1"/>
    <col min="14073" max="14073" width="4.6640625" style="4" customWidth="1"/>
    <col min="14074" max="14074" width="8.6640625" style="4" customWidth="1"/>
    <col min="14075" max="14075" width="1.33203125" style="4" customWidth="1"/>
    <col min="14076" max="14078" width="8.6640625" style="4" customWidth="1"/>
    <col min="14079" max="14079" width="9.88671875" style="4" customWidth="1"/>
    <col min="14080" max="14080" width="6.33203125" style="4" customWidth="1"/>
    <col min="14081" max="14081" width="7.109375" style="4" customWidth="1"/>
    <col min="14082" max="14082" width="4.6640625" style="4" customWidth="1"/>
    <col min="14083" max="14086" width="2.6640625" style="4" customWidth="1"/>
    <col min="14087" max="14087" width="27.88671875" style="4" customWidth="1"/>
    <col min="14088" max="14320" width="9.109375" style="4"/>
    <col min="14321" max="14321" width="3.5546875" style="4" customWidth="1"/>
    <col min="14322" max="14322" width="30.5546875" style="4" customWidth="1"/>
    <col min="14323" max="14323" width="4.6640625" style="4" customWidth="1"/>
    <col min="14324" max="14324" width="8.6640625" style="4" customWidth="1"/>
    <col min="14325" max="14325" width="4.6640625" style="4" customWidth="1"/>
    <col min="14326" max="14326" width="8.6640625" style="4" customWidth="1"/>
    <col min="14327" max="14327" width="4.6640625" style="4" customWidth="1"/>
    <col min="14328" max="14328" width="8.6640625" style="4" customWidth="1"/>
    <col min="14329" max="14329" width="4.6640625" style="4" customWidth="1"/>
    <col min="14330" max="14330" width="8.6640625" style="4" customWidth="1"/>
    <col min="14331" max="14331" width="1.33203125" style="4" customWidth="1"/>
    <col min="14332" max="14334" width="8.6640625" style="4" customWidth="1"/>
    <col min="14335" max="14335" width="9.88671875" style="4" customWidth="1"/>
    <col min="14336" max="14336" width="6.33203125" style="4" customWidth="1"/>
    <col min="14337" max="14337" width="7.109375" style="4" customWidth="1"/>
    <col min="14338" max="14338" width="4.6640625" style="4" customWidth="1"/>
    <col min="14339" max="14342" width="2.6640625" style="4" customWidth="1"/>
    <col min="14343" max="14343" width="27.88671875" style="4" customWidth="1"/>
    <col min="14344" max="14576" width="9.109375" style="4"/>
    <col min="14577" max="14577" width="3.5546875" style="4" customWidth="1"/>
    <col min="14578" max="14578" width="30.5546875" style="4" customWidth="1"/>
    <col min="14579" max="14579" width="4.6640625" style="4" customWidth="1"/>
    <col min="14580" max="14580" width="8.6640625" style="4" customWidth="1"/>
    <col min="14581" max="14581" width="4.6640625" style="4" customWidth="1"/>
    <col min="14582" max="14582" width="8.6640625" style="4" customWidth="1"/>
    <col min="14583" max="14583" width="4.6640625" style="4" customWidth="1"/>
    <col min="14584" max="14584" width="8.6640625" style="4" customWidth="1"/>
    <col min="14585" max="14585" width="4.6640625" style="4" customWidth="1"/>
    <col min="14586" max="14586" width="8.6640625" style="4" customWidth="1"/>
    <col min="14587" max="14587" width="1.33203125" style="4" customWidth="1"/>
    <col min="14588" max="14590" width="8.6640625" style="4" customWidth="1"/>
    <col min="14591" max="14591" width="9.88671875" style="4" customWidth="1"/>
    <col min="14592" max="14592" width="6.33203125" style="4" customWidth="1"/>
    <col min="14593" max="14593" width="7.109375" style="4" customWidth="1"/>
    <col min="14594" max="14594" width="4.6640625" style="4" customWidth="1"/>
    <col min="14595" max="14598" width="2.6640625" style="4" customWidth="1"/>
    <col min="14599" max="14599" width="27.88671875" style="4" customWidth="1"/>
    <col min="14600" max="14832" width="9.109375" style="4"/>
    <col min="14833" max="14833" width="3.5546875" style="4" customWidth="1"/>
    <col min="14834" max="14834" width="30.5546875" style="4" customWidth="1"/>
    <col min="14835" max="14835" width="4.6640625" style="4" customWidth="1"/>
    <col min="14836" max="14836" width="8.6640625" style="4" customWidth="1"/>
    <col min="14837" max="14837" width="4.6640625" style="4" customWidth="1"/>
    <col min="14838" max="14838" width="8.6640625" style="4" customWidth="1"/>
    <col min="14839" max="14839" width="4.6640625" style="4" customWidth="1"/>
    <col min="14840" max="14840" width="8.6640625" style="4" customWidth="1"/>
    <col min="14841" max="14841" width="4.6640625" style="4" customWidth="1"/>
    <col min="14842" max="14842" width="8.6640625" style="4" customWidth="1"/>
    <col min="14843" max="14843" width="1.33203125" style="4" customWidth="1"/>
    <col min="14844" max="14846" width="8.6640625" style="4" customWidth="1"/>
    <col min="14847" max="14847" width="9.88671875" style="4" customWidth="1"/>
    <col min="14848" max="14848" width="6.33203125" style="4" customWidth="1"/>
    <col min="14849" max="14849" width="7.109375" style="4" customWidth="1"/>
    <col min="14850" max="14850" width="4.6640625" style="4" customWidth="1"/>
    <col min="14851" max="14854" width="2.6640625" style="4" customWidth="1"/>
    <col min="14855" max="14855" width="27.88671875" style="4" customWidth="1"/>
    <col min="14856" max="15088" width="9.109375" style="4"/>
    <col min="15089" max="15089" width="3.5546875" style="4" customWidth="1"/>
    <col min="15090" max="15090" width="30.5546875" style="4" customWidth="1"/>
    <col min="15091" max="15091" width="4.6640625" style="4" customWidth="1"/>
    <col min="15092" max="15092" width="8.6640625" style="4" customWidth="1"/>
    <col min="15093" max="15093" width="4.6640625" style="4" customWidth="1"/>
    <col min="15094" max="15094" width="8.6640625" style="4" customWidth="1"/>
    <col min="15095" max="15095" width="4.6640625" style="4" customWidth="1"/>
    <col min="15096" max="15096" width="8.6640625" style="4" customWidth="1"/>
    <col min="15097" max="15097" width="4.6640625" style="4" customWidth="1"/>
    <col min="15098" max="15098" width="8.6640625" style="4" customWidth="1"/>
    <col min="15099" max="15099" width="1.33203125" style="4" customWidth="1"/>
    <col min="15100" max="15102" width="8.6640625" style="4" customWidth="1"/>
    <col min="15103" max="15103" width="9.88671875" style="4" customWidth="1"/>
    <col min="15104" max="15104" width="6.33203125" style="4" customWidth="1"/>
    <col min="15105" max="15105" width="7.109375" style="4" customWidth="1"/>
    <col min="15106" max="15106" width="4.6640625" style="4" customWidth="1"/>
    <col min="15107" max="15110" width="2.6640625" style="4" customWidth="1"/>
    <col min="15111" max="15111" width="27.88671875" style="4" customWidth="1"/>
    <col min="15112" max="15344" width="9.109375" style="4"/>
    <col min="15345" max="15345" width="3.5546875" style="4" customWidth="1"/>
    <col min="15346" max="15346" width="30.5546875" style="4" customWidth="1"/>
    <col min="15347" max="15347" width="4.6640625" style="4" customWidth="1"/>
    <col min="15348" max="15348" width="8.6640625" style="4" customWidth="1"/>
    <col min="15349" max="15349" width="4.6640625" style="4" customWidth="1"/>
    <col min="15350" max="15350" width="8.6640625" style="4" customWidth="1"/>
    <col min="15351" max="15351" width="4.6640625" style="4" customWidth="1"/>
    <col min="15352" max="15352" width="8.6640625" style="4" customWidth="1"/>
    <col min="15353" max="15353" width="4.6640625" style="4" customWidth="1"/>
    <col min="15354" max="15354" width="8.6640625" style="4" customWidth="1"/>
    <col min="15355" max="15355" width="1.33203125" style="4" customWidth="1"/>
    <col min="15356" max="15358" width="8.6640625" style="4" customWidth="1"/>
    <col min="15359" max="15359" width="9.88671875" style="4" customWidth="1"/>
    <col min="15360" max="15360" width="6.33203125" style="4" customWidth="1"/>
    <col min="15361" max="15361" width="7.109375" style="4" customWidth="1"/>
    <col min="15362" max="15362" width="4.6640625" style="4" customWidth="1"/>
    <col min="15363" max="15366" width="2.6640625" style="4" customWidth="1"/>
    <col min="15367" max="15367" width="27.88671875" style="4" customWidth="1"/>
    <col min="15368" max="15600" width="9.109375" style="4"/>
    <col min="15601" max="15601" width="3.5546875" style="4" customWidth="1"/>
    <col min="15602" max="15602" width="30.5546875" style="4" customWidth="1"/>
    <col min="15603" max="15603" width="4.6640625" style="4" customWidth="1"/>
    <col min="15604" max="15604" width="8.6640625" style="4" customWidth="1"/>
    <col min="15605" max="15605" width="4.6640625" style="4" customWidth="1"/>
    <col min="15606" max="15606" width="8.6640625" style="4" customWidth="1"/>
    <col min="15607" max="15607" width="4.6640625" style="4" customWidth="1"/>
    <col min="15608" max="15608" width="8.6640625" style="4" customWidth="1"/>
    <col min="15609" max="15609" width="4.6640625" style="4" customWidth="1"/>
    <col min="15610" max="15610" width="8.6640625" style="4" customWidth="1"/>
    <col min="15611" max="15611" width="1.33203125" style="4" customWidth="1"/>
    <col min="15612" max="15614" width="8.6640625" style="4" customWidth="1"/>
    <col min="15615" max="15615" width="9.88671875" style="4" customWidth="1"/>
    <col min="15616" max="15616" width="6.33203125" style="4" customWidth="1"/>
    <col min="15617" max="15617" width="7.109375" style="4" customWidth="1"/>
    <col min="15618" max="15618" width="4.6640625" style="4" customWidth="1"/>
    <col min="15619" max="15622" width="2.6640625" style="4" customWidth="1"/>
    <col min="15623" max="15623" width="27.88671875" style="4" customWidth="1"/>
    <col min="15624" max="15856" width="9.109375" style="4"/>
    <col min="15857" max="15857" width="3.5546875" style="4" customWidth="1"/>
    <col min="15858" max="15858" width="30.5546875" style="4" customWidth="1"/>
    <col min="15859" max="15859" width="4.6640625" style="4" customWidth="1"/>
    <col min="15860" max="15860" width="8.6640625" style="4" customWidth="1"/>
    <col min="15861" max="15861" width="4.6640625" style="4" customWidth="1"/>
    <col min="15862" max="15862" width="8.6640625" style="4" customWidth="1"/>
    <col min="15863" max="15863" width="4.6640625" style="4" customWidth="1"/>
    <col min="15864" max="15864" width="8.6640625" style="4" customWidth="1"/>
    <col min="15865" max="15865" width="4.6640625" style="4" customWidth="1"/>
    <col min="15866" max="15866" width="8.6640625" style="4" customWidth="1"/>
    <col min="15867" max="15867" width="1.33203125" style="4" customWidth="1"/>
    <col min="15868" max="15870" width="8.6640625" style="4" customWidth="1"/>
    <col min="15871" max="15871" width="9.88671875" style="4" customWidth="1"/>
    <col min="15872" max="15872" width="6.33203125" style="4" customWidth="1"/>
    <col min="15873" max="15873" width="7.109375" style="4" customWidth="1"/>
    <col min="15874" max="15874" width="4.6640625" style="4" customWidth="1"/>
    <col min="15875" max="15878" width="2.6640625" style="4" customWidth="1"/>
    <col min="15879" max="15879" width="27.88671875" style="4" customWidth="1"/>
    <col min="15880" max="16112" width="9.109375" style="4"/>
    <col min="16113" max="16113" width="3.5546875" style="4" customWidth="1"/>
    <col min="16114" max="16114" width="30.5546875" style="4" customWidth="1"/>
    <col min="16115" max="16115" width="4.6640625" style="4" customWidth="1"/>
    <col min="16116" max="16116" width="8.6640625" style="4" customWidth="1"/>
    <col min="16117" max="16117" width="4.6640625" style="4" customWidth="1"/>
    <col min="16118" max="16118" width="8.6640625" style="4" customWidth="1"/>
    <col min="16119" max="16119" width="4.6640625" style="4" customWidth="1"/>
    <col min="16120" max="16120" width="8.6640625" style="4" customWidth="1"/>
    <col min="16121" max="16121" width="4.6640625" style="4" customWidth="1"/>
    <col min="16122" max="16122" width="8.6640625" style="4" customWidth="1"/>
    <col min="16123" max="16123" width="1.33203125" style="4" customWidth="1"/>
    <col min="16124" max="16126" width="8.6640625" style="4" customWidth="1"/>
    <col min="16127" max="16127" width="9.88671875" style="4" customWidth="1"/>
    <col min="16128" max="16128" width="6.33203125" style="4" customWidth="1"/>
    <col min="16129" max="16129" width="7.109375" style="4" customWidth="1"/>
    <col min="16130" max="16130" width="4.6640625" style="4" customWidth="1"/>
    <col min="16131" max="16134" width="2.6640625" style="4" customWidth="1"/>
    <col min="16135" max="16135" width="27.88671875" style="4" customWidth="1"/>
    <col min="16136" max="16383" width="9.109375" style="4"/>
    <col min="16384" max="16384" width="9.109375" style="4" customWidth="1"/>
  </cols>
  <sheetData>
    <row r="1" spans="1:17" hidden="1"/>
    <row r="2" spans="1:17" hidden="1"/>
    <row r="3" spans="1:17" hidden="1"/>
    <row r="4" spans="1:17" hidden="1"/>
    <row r="5" spans="1:17" hidden="1"/>
    <row r="6" spans="1:17" s="1" customFormat="1" ht="16.5" customHeight="1">
      <c r="A6" s="6"/>
      <c r="B6" s="7"/>
      <c r="C6" s="7"/>
      <c r="D6" s="7"/>
      <c r="E6" s="7"/>
      <c r="F6" s="7"/>
      <c r="G6" s="7"/>
      <c r="H6" s="7"/>
      <c r="I6" s="8"/>
      <c r="J6" s="9"/>
      <c r="K6" s="10"/>
      <c r="L6" s="11"/>
      <c r="M6" s="10"/>
      <c r="N6" s="10"/>
      <c r="O6" s="10"/>
      <c r="P6" s="12"/>
      <c r="Q6" s="13">
        <v>-1</v>
      </c>
    </row>
    <row r="7" spans="1:17" s="1" customFormat="1" ht="12">
      <c r="A7" s="14"/>
      <c r="B7" s="15" t="s">
        <v>8</v>
      </c>
      <c r="C7" s="16" t="str">
        <f>Midterm!C2</f>
        <v>IT 103 ADVANCED DATABASE MANAGEMENT SYSTEM</v>
      </c>
      <c r="D7" s="16"/>
      <c r="E7" s="16"/>
      <c r="F7" s="17"/>
      <c r="G7" s="17"/>
      <c r="H7" s="17"/>
      <c r="I7" s="18"/>
      <c r="J7" s="19"/>
      <c r="K7" s="20"/>
      <c r="L7" s="11"/>
      <c r="M7" s="10"/>
      <c r="N7" s="10"/>
      <c r="O7" s="10"/>
      <c r="P7" s="21"/>
    </row>
    <row r="8" spans="1:17" s="1" customFormat="1" ht="12">
      <c r="A8" s="14"/>
      <c r="B8" s="15" t="s">
        <v>7</v>
      </c>
      <c r="C8" s="22">
        <f>Midterm!I1</f>
        <v>0</v>
      </c>
      <c r="D8" s="22"/>
      <c r="E8" s="16">
        <f>Midterm!F1</f>
        <v>2</v>
      </c>
      <c r="F8" s="23">
        <f>Final!F1</f>
        <v>2</v>
      </c>
      <c r="G8" s="212" t="str">
        <f>Final!C1</f>
        <v>2025-2026</v>
      </c>
      <c r="H8" s="24"/>
      <c r="I8" s="25"/>
      <c r="J8" s="26"/>
      <c r="K8" s="27"/>
      <c r="L8" s="11"/>
      <c r="M8" s="10"/>
      <c r="N8" s="10"/>
      <c r="O8" s="10"/>
      <c r="P8" s="21"/>
    </row>
    <row r="9" spans="1:17" s="1" customFormat="1" ht="12">
      <c r="A9" s="14"/>
      <c r="B9" s="15" t="s">
        <v>12</v>
      </c>
      <c r="C9" s="22" t="str">
        <f>Midterm!F3</f>
        <v>FAJARDO, REBECCA R.</v>
      </c>
      <c r="D9" s="22"/>
      <c r="E9" s="28"/>
      <c r="F9" s="29"/>
      <c r="G9" s="29"/>
      <c r="H9" s="24"/>
      <c r="I9" s="30"/>
      <c r="J9" s="31"/>
      <c r="K9" s="32"/>
      <c r="L9" s="11"/>
      <c r="M9" s="10"/>
      <c r="N9" s="10"/>
      <c r="O9" s="10"/>
      <c r="P9" s="21"/>
    </row>
    <row r="10" spans="1:17" s="1" customFormat="1" ht="13.8">
      <c r="A10" s="14"/>
      <c r="B10" s="33"/>
      <c r="C10" s="34"/>
      <c r="D10" s="22"/>
      <c r="E10" s="28"/>
      <c r="F10" s="29"/>
      <c r="G10" s="29"/>
      <c r="H10" s="24"/>
      <c r="I10" s="30"/>
      <c r="J10" s="31"/>
      <c r="K10" s="32"/>
      <c r="L10" s="11"/>
      <c r="M10" s="10"/>
      <c r="N10" s="10"/>
      <c r="O10" s="10"/>
      <c r="P10" s="21"/>
    </row>
    <row r="11" spans="1:17" s="1" customFormat="1" ht="12">
      <c r="A11" s="35"/>
      <c r="B11" s="36"/>
      <c r="C11" s="36"/>
      <c r="D11" s="37"/>
      <c r="E11" s="38"/>
      <c r="F11" s="38"/>
      <c r="G11" s="38"/>
      <c r="H11" s="24"/>
      <c r="I11" s="39"/>
      <c r="J11" s="40"/>
      <c r="K11" s="11"/>
      <c r="L11" s="11"/>
      <c r="M11" s="10"/>
      <c r="N11" s="10"/>
      <c r="O11" s="10"/>
      <c r="P11" s="21"/>
    </row>
    <row r="12" spans="1:17" s="1" customFormat="1" ht="12">
      <c r="A12" s="41"/>
      <c r="B12" s="42"/>
      <c r="C12" s="42"/>
      <c r="D12" s="42"/>
      <c r="E12" s="42"/>
      <c r="F12" s="42"/>
      <c r="G12" s="42"/>
      <c r="H12" s="42"/>
      <c r="I12" s="43"/>
      <c r="J12" s="40"/>
      <c r="K12" s="11"/>
      <c r="L12" s="11"/>
      <c r="M12" s="10"/>
      <c r="N12" s="10"/>
      <c r="O12" s="10"/>
      <c r="P12" s="21"/>
    </row>
    <row r="13" spans="1:17" s="2" customFormat="1" ht="12" customHeight="1">
      <c r="A13" s="44"/>
      <c r="B13" s="45" t="s">
        <v>58</v>
      </c>
      <c r="C13" s="46"/>
      <c r="D13" s="47" t="s">
        <v>59</v>
      </c>
      <c r="E13" s="47"/>
      <c r="F13" s="47" t="s">
        <v>60</v>
      </c>
      <c r="G13" s="45" t="s">
        <v>61</v>
      </c>
      <c r="H13" s="48" t="s">
        <v>52</v>
      </c>
      <c r="I13" s="49" t="s">
        <v>62</v>
      </c>
      <c r="J13" s="50"/>
      <c r="K13" s="51"/>
      <c r="L13" s="52"/>
      <c r="M13" s="53"/>
      <c r="N13" s="53"/>
      <c r="O13" s="53"/>
    </row>
    <row r="14" spans="1:17" s="2" customFormat="1" ht="12" customHeight="1">
      <c r="A14" s="54"/>
      <c r="B14" s="45"/>
      <c r="C14" s="46"/>
      <c r="D14" s="45"/>
      <c r="E14" s="46"/>
      <c r="F14" s="45"/>
      <c r="G14" s="45" t="s">
        <v>52</v>
      </c>
      <c r="H14" s="48" t="s">
        <v>63</v>
      </c>
      <c r="I14" s="55"/>
      <c r="J14" s="50"/>
      <c r="K14" s="51"/>
      <c r="L14" s="52"/>
      <c r="M14" s="56">
        <v>0</v>
      </c>
      <c r="N14" s="56">
        <v>5</v>
      </c>
      <c r="O14" s="53"/>
    </row>
    <row r="15" spans="1:17" ht="11.25" customHeight="1">
      <c r="A15" s="57">
        <v>1</v>
      </c>
      <c r="B15" s="58">
        <f>Midterm!B15</f>
        <v>0</v>
      </c>
      <c r="C15" s="59" t="str">
        <f>IF(I15="dna",I15,Midterm!S15)</f>
        <v/>
      </c>
      <c r="D15" s="60" t="str">
        <f>Midterm!T15</f>
        <v/>
      </c>
      <c r="E15" s="59" t="str">
        <f>IF(I15="dna",I15,Final!S15)</f>
        <v/>
      </c>
      <c r="F15" s="60" t="str">
        <f>Final!T15</f>
        <v/>
      </c>
      <c r="G15" s="61" t="str">
        <f t="shared" ref="G15:G54" si="0">IF(ISNUMBER(H15),VLOOKUP(H15,EQTable,2),H15)</f>
        <v/>
      </c>
      <c r="H15" s="62" t="str">
        <f t="shared" ref="H15:H46" si="1">IF(ISNUMBER(F15),IF($P$6=1,INT(J15+0.5),J15),F15)</f>
        <v/>
      </c>
      <c r="I15" s="63" t="str">
        <f>IF(Midterm!U15="dna","dna",IF(ISNUMBER(H15),IF(G15&lt;=3,"Passed","Failed"),H15))</f>
        <v/>
      </c>
      <c r="J15" s="64">
        <f>(MAX(Midterm!T15,D15)*0.5+MAX(Final!T15,F15)*0.5)</f>
        <v>0</v>
      </c>
      <c r="K15" s="65"/>
      <c r="L15" s="66"/>
      <c r="M15" s="67">
        <v>74.5</v>
      </c>
      <c r="N15" s="67">
        <v>3</v>
      </c>
    </row>
    <row r="16" spans="1:17" ht="11.25" customHeight="1">
      <c r="A16" s="57">
        <f t="shared" ref="A16:A54" si="2">A15+1</f>
        <v>2</v>
      </c>
      <c r="B16" s="58">
        <f>Midterm!B16</f>
        <v>0</v>
      </c>
      <c r="C16" s="59" t="str">
        <f>IF(I16="dna",I16,Midterm!S16)</f>
        <v/>
      </c>
      <c r="D16" s="60" t="str">
        <f>Midterm!T16</f>
        <v/>
      </c>
      <c r="E16" s="59" t="str">
        <f>IF(I16="dna",I16,Final!S16)</f>
        <v/>
      </c>
      <c r="F16" s="60" t="str">
        <f>Final!T16</f>
        <v/>
      </c>
      <c r="G16" s="61" t="str">
        <f t="shared" si="0"/>
        <v/>
      </c>
      <c r="H16" s="62" t="str">
        <f t="shared" si="1"/>
        <v/>
      </c>
      <c r="I16" s="63" t="str">
        <f>IF(Midterm!U16="dna","dna",IF(ISNUMBER(H16),IF(G16&lt;=3,"Passed","Failed"),H16))</f>
        <v/>
      </c>
      <c r="J16" s="64">
        <f>(MAX(Midterm!T16,D16)*0.5+MAX(Final!T16,F16)*0.5)</f>
        <v>0</v>
      </c>
      <c r="K16" s="65"/>
      <c r="L16" s="66"/>
      <c r="M16" s="67">
        <v>76.5</v>
      </c>
      <c r="N16" s="67">
        <v>2.75</v>
      </c>
    </row>
    <row r="17" spans="1:14" ht="11.25" customHeight="1">
      <c r="A17" s="57">
        <f t="shared" si="2"/>
        <v>3</v>
      </c>
      <c r="B17" s="58">
        <f>Midterm!B17</f>
        <v>0</v>
      </c>
      <c r="C17" s="59" t="str">
        <f>IF(I17="dna",I17,Midterm!S17)</f>
        <v/>
      </c>
      <c r="D17" s="60" t="str">
        <f>Midterm!T17</f>
        <v/>
      </c>
      <c r="E17" s="59" t="str">
        <f>IF(I17="dna",I17,Final!S17)</f>
        <v/>
      </c>
      <c r="F17" s="60" t="str">
        <f>Final!T17</f>
        <v/>
      </c>
      <c r="G17" s="61" t="str">
        <f t="shared" si="0"/>
        <v/>
      </c>
      <c r="H17" s="62" t="str">
        <f t="shared" si="1"/>
        <v/>
      </c>
      <c r="I17" s="63" t="str">
        <f>IF(Midterm!U17="dna","dna",IF(ISNUMBER(H17),IF(G17&lt;=3,"Passed","Failed"),H17))</f>
        <v/>
      </c>
      <c r="J17" s="64">
        <f>(MAX(Midterm!T17,D17)*0.5+MAX(Final!T17,F17)*0.5)</f>
        <v>0</v>
      </c>
      <c r="K17" s="65"/>
      <c r="L17" s="66"/>
      <c r="M17" s="67">
        <v>79.5</v>
      </c>
      <c r="N17" s="67">
        <v>2.5</v>
      </c>
    </row>
    <row r="18" spans="1:14" ht="11.25" customHeight="1">
      <c r="A18" s="57">
        <f t="shared" si="2"/>
        <v>4</v>
      </c>
      <c r="B18" s="58">
        <f>Midterm!B18</f>
        <v>0</v>
      </c>
      <c r="C18" s="59" t="str">
        <f>IF(I18="dna",I18,Midterm!S18)</f>
        <v/>
      </c>
      <c r="D18" s="60" t="str">
        <f>Midterm!T18</f>
        <v/>
      </c>
      <c r="E18" s="59" t="str">
        <f>IF(I18="dna",I18,Final!S18)</f>
        <v/>
      </c>
      <c r="F18" s="60" t="str">
        <f>Final!T18</f>
        <v/>
      </c>
      <c r="G18" s="61" t="str">
        <f t="shared" si="0"/>
        <v/>
      </c>
      <c r="H18" s="62" t="str">
        <f t="shared" si="1"/>
        <v/>
      </c>
      <c r="I18" s="63" t="str">
        <f>IF(Midterm!U18="dna","dna",IF(ISNUMBER(H18),IF(G18&lt;=3,"Passed","Failed"),H18))</f>
        <v/>
      </c>
      <c r="J18" s="64">
        <f>(MAX(Midterm!T18,D18)*0.5+MAX(Final!T18,F18)*0.5)</f>
        <v>0</v>
      </c>
      <c r="K18" s="65"/>
      <c r="L18" s="66"/>
      <c r="M18" s="67">
        <v>82.5</v>
      </c>
      <c r="N18" s="67">
        <v>2.25</v>
      </c>
    </row>
    <row r="19" spans="1:14" ht="11.25" customHeight="1">
      <c r="A19" s="57">
        <f t="shared" si="2"/>
        <v>5</v>
      </c>
      <c r="B19" s="58">
        <f>Midterm!B19</f>
        <v>0</v>
      </c>
      <c r="C19" s="59" t="str">
        <f>IF(I19="dna",I19,Midterm!S19)</f>
        <v/>
      </c>
      <c r="D19" s="60" t="str">
        <f>Midterm!T19</f>
        <v/>
      </c>
      <c r="E19" s="59" t="str">
        <f>IF(I19="dna",I19,Final!S19)</f>
        <v/>
      </c>
      <c r="F19" s="60" t="str">
        <f>Final!T19</f>
        <v/>
      </c>
      <c r="G19" s="61" t="str">
        <f t="shared" si="0"/>
        <v/>
      </c>
      <c r="H19" s="62" t="str">
        <f t="shared" si="1"/>
        <v/>
      </c>
      <c r="I19" s="63" t="str">
        <f>IF(Midterm!U19="dna","dna",IF(ISNUMBER(H19),IF(G19&lt;=3,"Passed","Failed"),H19))</f>
        <v/>
      </c>
      <c r="J19" s="64">
        <f>(MAX(Midterm!T19,D19)*0.5+MAX(Final!T19,F19)*0.5)</f>
        <v>0</v>
      </c>
      <c r="K19" s="65"/>
      <c r="L19" s="66"/>
      <c r="M19" s="67">
        <v>85.5</v>
      </c>
      <c r="N19" s="67">
        <v>2</v>
      </c>
    </row>
    <row r="20" spans="1:14" ht="11.25" customHeight="1">
      <c r="A20" s="57">
        <f t="shared" si="2"/>
        <v>6</v>
      </c>
      <c r="B20" s="58">
        <f>Midterm!B20</f>
        <v>0</v>
      </c>
      <c r="C20" s="59" t="str">
        <f>IF(I20="dna",I20,Midterm!S20)</f>
        <v/>
      </c>
      <c r="D20" s="60" t="str">
        <f>Midterm!T20</f>
        <v/>
      </c>
      <c r="E20" s="59" t="str">
        <f>IF(I20="dna",I20,Final!S20)</f>
        <v/>
      </c>
      <c r="F20" s="60" t="str">
        <f>Final!T20</f>
        <v/>
      </c>
      <c r="G20" s="61" t="str">
        <f t="shared" si="0"/>
        <v/>
      </c>
      <c r="H20" s="62" t="str">
        <f t="shared" si="1"/>
        <v/>
      </c>
      <c r="I20" s="63" t="str">
        <f>IF(Midterm!U20="dna","dna",IF(ISNUMBER(H20),IF(G20&lt;=3,"Passed","Failed"),H20))</f>
        <v/>
      </c>
      <c r="J20" s="64">
        <f>(MAX(Midterm!T20,D20)*0.5+MAX(Final!T20,F20)*0.5)</f>
        <v>0</v>
      </c>
      <c r="K20" s="65"/>
      <c r="L20" s="66"/>
      <c r="M20" s="67">
        <v>88.5</v>
      </c>
      <c r="N20" s="67">
        <v>1.75</v>
      </c>
    </row>
    <row r="21" spans="1:14" ht="11.25" customHeight="1">
      <c r="A21" s="57">
        <f t="shared" si="2"/>
        <v>7</v>
      </c>
      <c r="B21" s="58">
        <f>Midterm!B21</f>
        <v>0</v>
      </c>
      <c r="C21" s="59" t="str">
        <f>IF(I21="dna",I21,Midterm!S21)</f>
        <v/>
      </c>
      <c r="D21" s="60" t="str">
        <f>Midterm!T21</f>
        <v/>
      </c>
      <c r="E21" s="59" t="str">
        <f>IF(I21="dna",I21,Final!S21)</f>
        <v/>
      </c>
      <c r="F21" s="60" t="str">
        <f>Final!T21</f>
        <v/>
      </c>
      <c r="G21" s="61" t="str">
        <f t="shared" si="0"/>
        <v/>
      </c>
      <c r="H21" s="62" t="str">
        <f t="shared" si="1"/>
        <v/>
      </c>
      <c r="I21" s="63" t="str">
        <f>IF(Midterm!U21="dna","dna",IF(ISNUMBER(H21),IF(G21&lt;=3,"Passed","Failed"),H21))</f>
        <v/>
      </c>
      <c r="J21" s="64">
        <f>(MAX(Midterm!T21,D21)*0.5+MAX(Final!T21,F21)*0.5)</f>
        <v>0</v>
      </c>
      <c r="K21" s="65"/>
      <c r="L21" s="66"/>
      <c r="M21" s="67">
        <v>91.5</v>
      </c>
      <c r="N21" s="67">
        <v>1.5</v>
      </c>
    </row>
    <row r="22" spans="1:14" ht="11.25" customHeight="1">
      <c r="A22" s="57">
        <f t="shared" si="2"/>
        <v>8</v>
      </c>
      <c r="B22" s="58">
        <f>Midterm!B22</f>
        <v>0</v>
      </c>
      <c r="C22" s="59" t="str">
        <f>IF(I22="dna",I22,Midterm!S22)</f>
        <v/>
      </c>
      <c r="D22" s="60" t="str">
        <f>Midterm!T22</f>
        <v/>
      </c>
      <c r="E22" s="59" t="str">
        <f>IF(I22="dna",I22,Final!S22)</f>
        <v/>
      </c>
      <c r="F22" s="60" t="str">
        <f>Final!T22</f>
        <v/>
      </c>
      <c r="G22" s="61" t="str">
        <f t="shared" si="0"/>
        <v/>
      </c>
      <c r="H22" s="62" t="str">
        <f t="shared" si="1"/>
        <v/>
      </c>
      <c r="I22" s="63" t="str">
        <f>IF(Midterm!U22="dna","dna",IF(ISNUMBER(H22),IF(G22&lt;=3,"Passed","Failed"),H22))</f>
        <v/>
      </c>
      <c r="J22" s="64">
        <f>(MAX(Midterm!T22,D22)*0.5+MAX(Final!T22,F22)*0.5)</f>
        <v>0</v>
      </c>
      <c r="K22" s="65"/>
      <c r="L22" s="66"/>
      <c r="M22" s="67">
        <v>94.5</v>
      </c>
      <c r="N22" s="67">
        <v>1.25</v>
      </c>
    </row>
    <row r="23" spans="1:14" ht="11.25" customHeight="1">
      <c r="A23" s="57">
        <f t="shared" si="2"/>
        <v>9</v>
      </c>
      <c r="B23" s="58">
        <f>Midterm!B23</f>
        <v>0</v>
      </c>
      <c r="C23" s="59" t="str">
        <f>IF(I23="dna",I23,Midterm!S23)</f>
        <v/>
      </c>
      <c r="D23" s="60" t="str">
        <f>Midterm!T23</f>
        <v/>
      </c>
      <c r="E23" s="59" t="str">
        <f>IF(I23="dna",I23,Final!S23)</f>
        <v/>
      </c>
      <c r="F23" s="60" t="str">
        <f>Final!T23</f>
        <v/>
      </c>
      <c r="G23" s="61" t="str">
        <f t="shared" si="0"/>
        <v/>
      </c>
      <c r="H23" s="62" t="str">
        <f t="shared" si="1"/>
        <v/>
      </c>
      <c r="I23" s="63" t="str">
        <f>IF(Midterm!U23="dna","dna",IF(ISNUMBER(H23),IF(G23&lt;=3,"Passed","Failed"),H23))</f>
        <v/>
      </c>
      <c r="J23" s="64">
        <f>(MAX(Midterm!T23,D23)*0.5+MAX(Final!T23,F23)*0.5)</f>
        <v>0</v>
      </c>
      <c r="K23" s="65"/>
      <c r="L23" s="66"/>
      <c r="M23" s="67">
        <v>97.5</v>
      </c>
      <c r="N23" s="67">
        <v>1</v>
      </c>
    </row>
    <row r="24" spans="1:14" ht="11.25" customHeight="1">
      <c r="A24" s="57">
        <f t="shared" si="2"/>
        <v>10</v>
      </c>
      <c r="B24" s="58">
        <f>Midterm!B24</f>
        <v>0</v>
      </c>
      <c r="C24" s="59" t="str">
        <f>IF(I24="dna",I24,Midterm!S24)</f>
        <v/>
      </c>
      <c r="D24" s="60" t="str">
        <f>Midterm!T24</f>
        <v/>
      </c>
      <c r="E24" s="59" t="str">
        <f>IF(I24="dna",I24,Final!S24)</f>
        <v/>
      </c>
      <c r="F24" s="60" t="str">
        <f>Final!T24</f>
        <v/>
      </c>
      <c r="G24" s="61" t="str">
        <f t="shared" si="0"/>
        <v/>
      </c>
      <c r="H24" s="62" t="str">
        <f t="shared" si="1"/>
        <v/>
      </c>
      <c r="I24" s="63" t="str">
        <f>IF(Midterm!U24="dna","dna",IF(ISNUMBER(H24),IF(G24&lt;=3,"Passed","Failed"),H24))</f>
        <v/>
      </c>
      <c r="J24" s="64">
        <f>(MAX(Midterm!T24,D24)*0.5+MAX(Final!T24,F24)*0.5)</f>
        <v>0</v>
      </c>
      <c r="K24" s="65"/>
      <c r="L24" s="66"/>
    </row>
    <row r="25" spans="1:14" ht="11.25" customHeight="1">
      <c r="A25" s="57">
        <f t="shared" si="2"/>
        <v>11</v>
      </c>
      <c r="B25" s="58">
        <f>Midterm!B25</f>
        <v>0</v>
      </c>
      <c r="C25" s="59" t="str">
        <f>IF(I25="dna",I25,Midterm!S25)</f>
        <v/>
      </c>
      <c r="D25" s="60" t="str">
        <f>Midterm!T25</f>
        <v/>
      </c>
      <c r="E25" s="59" t="str">
        <f>IF(I25="dna",I25,Final!S25)</f>
        <v/>
      </c>
      <c r="F25" s="60" t="str">
        <f>Final!T25</f>
        <v/>
      </c>
      <c r="G25" s="61" t="str">
        <f t="shared" si="0"/>
        <v/>
      </c>
      <c r="H25" s="62" t="str">
        <f t="shared" si="1"/>
        <v/>
      </c>
      <c r="I25" s="63" t="str">
        <f>IF(Midterm!U25="dna","dna",IF(ISNUMBER(H25),IF(G25&lt;=3,"Passed","Failed"),H25))</f>
        <v/>
      </c>
      <c r="J25" s="64">
        <f>(MAX(Midterm!T25,D25)*0.5+MAX(Final!T25,F25)*0.5)</f>
        <v>0</v>
      </c>
      <c r="K25" s="65"/>
      <c r="L25" s="66"/>
      <c r="M25" s="67"/>
      <c r="N25" s="67"/>
    </row>
    <row r="26" spans="1:14" ht="11.25" customHeight="1">
      <c r="A26" s="57">
        <f t="shared" si="2"/>
        <v>12</v>
      </c>
      <c r="B26" s="58">
        <f>Midterm!B26</f>
        <v>0</v>
      </c>
      <c r="C26" s="59" t="str">
        <f>IF(I26="dna",I26,Midterm!S26)</f>
        <v/>
      </c>
      <c r="D26" s="60" t="str">
        <f>Midterm!T26</f>
        <v/>
      </c>
      <c r="E26" s="59" t="str">
        <f>IF(I26="dna",I26,Final!S26)</f>
        <v/>
      </c>
      <c r="F26" s="60" t="str">
        <f>Final!T26</f>
        <v/>
      </c>
      <c r="G26" s="61" t="str">
        <f t="shared" si="0"/>
        <v/>
      </c>
      <c r="H26" s="62" t="str">
        <f t="shared" si="1"/>
        <v/>
      </c>
      <c r="I26" s="63" t="str">
        <f>IF(Midterm!U26="dna","dna",IF(ISNUMBER(H26),IF(G26&lt;=3,"Passed","Failed"),H26))</f>
        <v/>
      </c>
      <c r="J26" s="64">
        <f>(MAX(Midterm!T26,D26)*0.5+MAX(Final!T26,F26)*0.5)</f>
        <v>0</v>
      </c>
      <c r="K26" s="65"/>
      <c r="L26" s="66"/>
      <c r="M26" s="67">
        <f>COUNTIF(C15:C54,"inc")</f>
        <v>0</v>
      </c>
      <c r="N26" s="67" t="b">
        <f>IF(M26&gt;0,TRUE,FALSE)</f>
        <v>0</v>
      </c>
    </row>
    <row r="27" spans="1:14" ht="11.25" customHeight="1">
      <c r="A27" s="57">
        <f t="shared" si="2"/>
        <v>13</v>
      </c>
      <c r="B27" s="58">
        <f>Midterm!B27</f>
        <v>0</v>
      </c>
      <c r="C27" s="59" t="str">
        <f>IF(I27="dna",I27,Midterm!S27)</f>
        <v/>
      </c>
      <c r="D27" s="60" t="str">
        <f>Midterm!T27</f>
        <v/>
      </c>
      <c r="E27" s="59" t="str">
        <f>IF(I27="dna",I27,Final!S27)</f>
        <v/>
      </c>
      <c r="F27" s="60" t="str">
        <f>Final!T27</f>
        <v/>
      </c>
      <c r="G27" s="61" t="str">
        <f t="shared" si="0"/>
        <v/>
      </c>
      <c r="H27" s="62" t="str">
        <f t="shared" si="1"/>
        <v/>
      </c>
      <c r="I27" s="63" t="str">
        <f>IF(Midterm!U27="dna","dna",IF(ISNUMBER(H27),IF(G27&lt;=3,"Passed","Failed"),H27))</f>
        <v/>
      </c>
      <c r="J27" s="64">
        <f>(MAX(Midterm!T27,D27)*0.5+MAX(Final!T27,F27)*0.5)</f>
        <v>0</v>
      </c>
      <c r="K27" s="65"/>
      <c r="L27" s="66"/>
      <c r="M27" s="67" t="e">
        <f>COUNTIF(#REF!,"inc")</f>
        <v>#REF!</v>
      </c>
      <c r="N27" s="67" t="e">
        <f>IF(M27&gt;0,TRUE,FALSE)</f>
        <v>#REF!</v>
      </c>
    </row>
    <row r="28" spans="1:14" ht="11.25" customHeight="1">
      <c r="A28" s="57">
        <f t="shared" si="2"/>
        <v>14</v>
      </c>
      <c r="B28" s="58">
        <f>Midterm!B28</f>
        <v>0</v>
      </c>
      <c r="C28" s="59" t="str">
        <f>IF(I28="dna",I28,Midterm!S28)</f>
        <v/>
      </c>
      <c r="D28" s="60" t="str">
        <f>Midterm!T28</f>
        <v/>
      </c>
      <c r="E28" s="59" t="str">
        <f>IF(I28="dna",I28,Final!S28)</f>
        <v/>
      </c>
      <c r="F28" s="60" t="str">
        <f>Final!T28</f>
        <v/>
      </c>
      <c r="G28" s="61" t="str">
        <f t="shared" si="0"/>
        <v/>
      </c>
      <c r="H28" s="62" t="str">
        <f t="shared" si="1"/>
        <v/>
      </c>
      <c r="I28" s="63" t="str">
        <f>IF(Midterm!U28="dna","dna",IF(ISNUMBER(H28),IF(G28&lt;=3,"Passed","Failed"),H28))</f>
        <v/>
      </c>
      <c r="J28" s="64">
        <f>(MAX(Midterm!T28,D28)*0.5+MAX(Final!T28,F28)*0.5)</f>
        <v>0</v>
      </c>
      <c r="K28" s="65"/>
      <c r="L28" s="66"/>
      <c r="M28" s="67" t="e">
        <f>COUNTIF(#REF!,"inc")</f>
        <v>#REF!</v>
      </c>
      <c r="N28" s="67" t="e">
        <f>IF(M28&gt;0,TRUE,FALSE)</f>
        <v>#REF!</v>
      </c>
    </row>
    <row r="29" spans="1:14" ht="11.25" customHeight="1">
      <c r="A29" s="57">
        <f t="shared" si="2"/>
        <v>15</v>
      </c>
      <c r="B29" s="58">
        <f>Midterm!B29</f>
        <v>0</v>
      </c>
      <c r="C29" s="59" t="str">
        <f>IF(I29="dna",I29,Midterm!S29)</f>
        <v/>
      </c>
      <c r="D29" s="60" t="str">
        <f>Midterm!T29</f>
        <v/>
      </c>
      <c r="E29" s="59" t="str">
        <f>IF(I29="dna",I29,Final!S29)</f>
        <v/>
      </c>
      <c r="F29" s="60" t="str">
        <f>Final!T29</f>
        <v/>
      </c>
      <c r="G29" s="61" t="str">
        <f t="shared" si="0"/>
        <v/>
      </c>
      <c r="H29" s="62" t="str">
        <f t="shared" si="1"/>
        <v/>
      </c>
      <c r="I29" s="63" t="str">
        <f>IF(Midterm!U29="dna","dna",IF(ISNUMBER(H29),IF(G29&lt;=3,"Passed","Failed"),H29))</f>
        <v/>
      </c>
      <c r="J29" s="64">
        <f>(MAX(Midterm!T29,D29)*0.5+MAX(Final!T29,F29)*0.5)</f>
        <v>0</v>
      </c>
      <c r="K29" s="65"/>
      <c r="L29" s="66"/>
      <c r="M29" s="67"/>
      <c r="N29" s="67"/>
    </row>
    <row r="30" spans="1:14" ht="11.25" customHeight="1">
      <c r="A30" s="57">
        <f t="shared" si="2"/>
        <v>16</v>
      </c>
      <c r="B30" s="58">
        <f>Midterm!B30</f>
        <v>0</v>
      </c>
      <c r="C30" s="59" t="str">
        <f>IF(I30="dna",I30,Midterm!S30)</f>
        <v/>
      </c>
      <c r="D30" s="60" t="str">
        <f>Midterm!T30</f>
        <v/>
      </c>
      <c r="E30" s="59" t="str">
        <f>IF(I30="dna",I30,Final!S30)</f>
        <v/>
      </c>
      <c r="F30" s="60" t="str">
        <f>Final!T30</f>
        <v/>
      </c>
      <c r="G30" s="61" t="str">
        <f t="shared" si="0"/>
        <v/>
      </c>
      <c r="H30" s="62" t="str">
        <f t="shared" si="1"/>
        <v/>
      </c>
      <c r="I30" s="63" t="str">
        <f>IF(Midterm!U30="dna","dna",IF(ISNUMBER(H30),IF(G30&lt;=3,"Passed","Failed"),H30))</f>
        <v/>
      </c>
      <c r="J30" s="64">
        <f>(MAX(Midterm!T30,D30)*0.5+MAX(Final!T30,F30)*0.5)</f>
        <v>0</v>
      </c>
      <c r="K30" s="65"/>
      <c r="L30" s="66"/>
    </row>
    <row r="31" spans="1:14" ht="11.25" customHeight="1">
      <c r="A31" s="57">
        <f t="shared" si="2"/>
        <v>17</v>
      </c>
      <c r="B31" s="58">
        <f>Midterm!B31</f>
        <v>0</v>
      </c>
      <c r="C31" s="59" t="str">
        <f>IF(I31="dna",I31,Midterm!S31)</f>
        <v/>
      </c>
      <c r="D31" s="60" t="str">
        <f>Midterm!T31</f>
        <v/>
      </c>
      <c r="E31" s="59" t="str">
        <f>IF(I31="dna",I31,Final!S31)</f>
        <v/>
      </c>
      <c r="F31" s="60" t="str">
        <f>Final!T31</f>
        <v/>
      </c>
      <c r="G31" s="61" t="str">
        <f t="shared" si="0"/>
        <v/>
      </c>
      <c r="H31" s="62" t="str">
        <f t="shared" si="1"/>
        <v/>
      </c>
      <c r="I31" s="63" t="str">
        <f>IF(Midterm!U31="dna","dna",IF(ISNUMBER(H31),IF(G31&lt;=3,"Passed","Failed"),H31))</f>
        <v/>
      </c>
      <c r="J31" s="64">
        <f>(MAX(Midterm!T31,D31)*0.5+MAX(Final!T31,F31)*0.5)</f>
        <v>0</v>
      </c>
      <c r="K31" s="65"/>
      <c r="L31" s="66"/>
    </row>
    <row r="32" spans="1:14" ht="11.25" customHeight="1">
      <c r="A32" s="57">
        <f t="shared" si="2"/>
        <v>18</v>
      </c>
      <c r="B32" s="58">
        <f>Midterm!B32</f>
        <v>0</v>
      </c>
      <c r="C32" s="59" t="str">
        <f>IF(I32="dna",I32,Midterm!S32)</f>
        <v/>
      </c>
      <c r="D32" s="60" t="str">
        <f>Midterm!T32</f>
        <v/>
      </c>
      <c r="E32" s="59" t="str">
        <f>IF(I32="dna",I32,Final!S32)</f>
        <v/>
      </c>
      <c r="F32" s="60" t="str">
        <f>Final!T32</f>
        <v/>
      </c>
      <c r="G32" s="61" t="str">
        <f t="shared" si="0"/>
        <v/>
      </c>
      <c r="H32" s="62" t="str">
        <f t="shared" si="1"/>
        <v/>
      </c>
      <c r="I32" s="63" t="str">
        <f>IF(Midterm!U32="dna","dna",IF(ISNUMBER(H32),IF(G32&lt;=3,"Passed","Failed"),H32))</f>
        <v/>
      </c>
      <c r="J32" s="64">
        <f>(MAX(Midterm!T32,D32)*0.5+MAX(Final!T32,F32)*0.5)</f>
        <v>0</v>
      </c>
      <c r="K32" s="65"/>
      <c r="L32" s="66"/>
    </row>
    <row r="33" spans="1:12" ht="11.25" customHeight="1">
      <c r="A33" s="57">
        <f t="shared" si="2"/>
        <v>19</v>
      </c>
      <c r="B33" s="58">
        <f>Midterm!B33</f>
        <v>0</v>
      </c>
      <c r="C33" s="59" t="str">
        <f>IF(I33="dna",I33,Midterm!S33)</f>
        <v/>
      </c>
      <c r="D33" s="60" t="str">
        <f>Midterm!T33</f>
        <v/>
      </c>
      <c r="E33" s="59" t="str">
        <f>IF(I33="dna",I33,Final!S33)</f>
        <v/>
      </c>
      <c r="F33" s="60" t="str">
        <f>Final!T33</f>
        <v/>
      </c>
      <c r="G33" s="61" t="str">
        <f t="shared" si="0"/>
        <v/>
      </c>
      <c r="H33" s="62" t="str">
        <f t="shared" si="1"/>
        <v/>
      </c>
      <c r="I33" s="63" t="str">
        <f>IF(Midterm!U33="dna","dna",IF(ISNUMBER(H33),IF(G33&lt;=3,"Passed","Failed"),H33))</f>
        <v/>
      </c>
      <c r="J33" s="64">
        <f>(MAX(Midterm!T33,D33)*0.5+MAX(Final!T33,F33)*0.5)</f>
        <v>0</v>
      </c>
      <c r="K33" s="65"/>
      <c r="L33" s="66"/>
    </row>
    <row r="34" spans="1:12" ht="11.25" customHeight="1">
      <c r="A34" s="57">
        <f t="shared" si="2"/>
        <v>20</v>
      </c>
      <c r="B34" s="58">
        <f>Midterm!B34</f>
        <v>0</v>
      </c>
      <c r="C34" s="59" t="str">
        <f>IF(I34="dna",I34,Midterm!S34)</f>
        <v/>
      </c>
      <c r="D34" s="60" t="str">
        <f>Midterm!T34</f>
        <v/>
      </c>
      <c r="E34" s="59" t="str">
        <f>IF(I34="dna",I34,Final!S34)</f>
        <v/>
      </c>
      <c r="F34" s="60" t="str">
        <f>Final!T34</f>
        <v/>
      </c>
      <c r="G34" s="61" t="str">
        <f t="shared" si="0"/>
        <v/>
      </c>
      <c r="H34" s="62" t="str">
        <f t="shared" si="1"/>
        <v/>
      </c>
      <c r="I34" s="63" t="str">
        <f>IF(Midterm!U34="dna","dna",IF(ISNUMBER(H34),IF(G34&lt;=3,"Passed","Failed"),H34))</f>
        <v/>
      </c>
      <c r="J34" s="64">
        <f>(MAX(Midterm!T34,D34)*0.5+MAX(Final!T34,F34)*0.5)</f>
        <v>0</v>
      </c>
      <c r="K34" s="65"/>
      <c r="L34" s="66"/>
    </row>
    <row r="35" spans="1:12" ht="11.25" customHeight="1">
      <c r="A35" s="57">
        <f t="shared" si="2"/>
        <v>21</v>
      </c>
      <c r="B35" s="58">
        <f>Midterm!B35</f>
        <v>0</v>
      </c>
      <c r="C35" s="59" t="str">
        <f>IF(I35="dna",I35,Midterm!S35)</f>
        <v/>
      </c>
      <c r="D35" s="60" t="str">
        <f>Midterm!T35</f>
        <v/>
      </c>
      <c r="E35" s="59" t="str">
        <f>IF(I35="dna",I35,Final!S35)</f>
        <v/>
      </c>
      <c r="F35" s="60" t="str">
        <f>Final!T35</f>
        <v/>
      </c>
      <c r="G35" s="61" t="str">
        <f t="shared" si="0"/>
        <v/>
      </c>
      <c r="H35" s="62" t="str">
        <f t="shared" si="1"/>
        <v/>
      </c>
      <c r="I35" s="63" t="str">
        <f>IF(Midterm!U35="dna","dna",IF(ISNUMBER(H35),IF(G35&lt;=3,"Passed","Failed"),H35))</f>
        <v/>
      </c>
      <c r="J35" s="64">
        <f>(MAX(Midterm!T35,D35)*0.5+MAX(Final!T35,F35)*0.5)</f>
        <v>0</v>
      </c>
      <c r="K35" s="65"/>
      <c r="L35" s="66"/>
    </row>
    <row r="36" spans="1:12" ht="11.25" customHeight="1">
      <c r="A36" s="57">
        <f t="shared" si="2"/>
        <v>22</v>
      </c>
      <c r="B36" s="58">
        <f>Midterm!B36</f>
        <v>0</v>
      </c>
      <c r="C36" s="59" t="str">
        <f>IF(I36="dna",I36,Midterm!S36)</f>
        <v/>
      </c>
      <c r="D36" s="60" t="str">
        <f>Midterm!T36</f>
        <v/>
      </c>
      <c r="E36" s="59" t="str">
        <f>IF(I36="dna",I36,Final!S36)</f>
        <v/>
      </c>
      <c r="F36" s="60" t="str">
        <f>Final!T36</f>
        <v/>
      </c>
      <c r="G36" s="61" t="str">
        <f t="shared" si="0"/>
        <v/>
      </c>
      <c r="H36" s="62" t="str">
        <f t="shared" si="1"/>
        <v/>
      </c>
      <c r="I36" s="63" t="str">
        <f>IF(Midterm!U36="dna","dna",IF(ISNUMBER(H36),IF(G36&lt;=3,"Passed","Failed"),H36))</f>
        <v/>
      </c>
      <c r="J36" s="64">
        <f>(MAX(Midterm!T36,D36)*0.5+MAX(Final!T36,F36)*0.5)</f>
        <v>0</v>
      </c>
      <c r="K36" s="65"/>
      <c r="L36" s="66"/>
    </row>
    <row r="37" spans="1:12" ht="11.25" customHeight="1">
      <c r="A37" s="57">
        <f t="shared" si="2"/>
        <v>23</v>
      </c>
      <c r="B37" s="58">
        <f>Midterm!B37</f>
        <v>0</v>
      </c>
      <c r="C37" s="59" t="str">
        <f>IF(I37="dna",I37,Midterm!S37)</f>
        <v/>
      </c>
      <c r="D37" s="60" t="str">
        <f>Midterm!T37</f>
        <v/>
      </c>
      <c r="E37" s="59" t="str">
        <f>IF(I37="dna",I37,Final!S37)</f>
        <v/>
      </c>
      <c r="F37" s="60" t="str">
        <f>Final!T37</f>
        <v/>
      </c>
      <c r="G37" s="61" t="str">
        <f t="shared" si="0"/>
        <v/>
      </c>
      <c r="H37" s="62" t="str">
        <f t="shared" si="1"/>
        <v/>
      </c>
      <c r="I37" s="63" t="str">
        <f>IF(Midterm!U37="dna","dna",IF(ISNUMBER(H37),IF(G37&lt;=3,"Passed","Failed"),H37))</f>
        <v/>
      </c>
      <c r="J37" s="64">
        <f>(MAX(Midterm!T37,D37)*0.5+MAX(Final!T37,F37)*0.5)</f>
        <v>0</v>
      </c>
      <c r="K37" s="65"/>
      <c r="L37" s="66"/>
    </row>
    <row r="38" spans="1:12" ht="11.25" customHeight="1">
      <c r="A38" s="57">
        <f t="shared" si="2"/>
        <v>24</v>
      </c>
      <c r="B38" s="58">
        <f>Midterm!B38</f>
        <v>0</v>
      </c>
      <c r="C38" s="59" t="str">
        <f>IF(I38="dna",I38,Midterm!S38)</f>
        <v/>
      </c>
      <c r="D38" s="60" t="str">
        <f>Midterm!T38</f>
        <v/>
      </c>
      <c r="E38" s="59" t="str">
        <f>IF(I38="dna",I38,Final!S38)</f>
        <v/>
      </c>
      <c r="F38" s="60" t="str">
        <f>Final!T38</f>
        <v/>
      </c>
      <c r="G38" s="61" t="str">
        <f t="shared" si="0"/>
        <v/>
      </c>
      <c r="H38" s="62" t="str">
        <f t="shared" si="1"/>
        <v/>
      </c>
      <c r="I38" s="63" t="str">
        <f>IF(Midterm!U38="dna","dna",IF(ISNUMBER(H38),IF(G38&lt;=3,"Passed","Failed"),H38))</f>
        <v/>
      </c>
      <c r="J38" s="64">
        <f>(MAX(Midterm!T38,D38)*0.5+MAX(Final!T38,F38)*0.5)</f>
        <v>0</v>
      </c>
      <c r="K38" s="65"/>
      <c r="L38" s="66"/>
    </row>
    <row r="39" spans="1:12" ht="11.25" customHeight="1">
      <c r="A39" s="57">
        <f t="shared" si="2"/>
        <v>25</v>
      </c>
      <c r="B39" s="58">
        <f>Midterm!B39</f>
        <v>0</v>
      </c>
      <c r="C39" s="59" t="str">
        <f>IF(I39="dna",I39,Midterm!S39)</f>
        <v/>
      </c>
      <c r="D39" s="60" t="str">
        <f>Midterm!T39</f>
        <v/>
      </c>
      <c r="E39" s="59" t="str">
        <f>IF(I39="dna",I39,Final!S39)</f>
        <v/>
      </c>
      <c r="F39" s="60" t="str">
        <f>Final!T39</f>
        <v/>
      </c>
      <c r="G39" s="61" t="str">
        <f t="shared" si="0"/>
        <v/>
      </c>
      <c r="H39" s="62" t="str">
        <f t="shared" si="1"/>
        <v/>
      </c>
      <c r="I39" s="63" t="str">
        <f>IF(Midterm!U39="dna","dna",IF(ISNUMBER(H39),IF(G39&lt;=3,"Passed","Failed"),H39))</f>
        <v/>
      </c>
      <c r="J39" s="64">
        <f>(MAX(Midterm!T39,D39)*0.5+MAX(Final!T39,F39)*0.5)</f>
        <v>0</v>
      </c>
      <c r="K39" s="65"/>
      <c r="L39" s="66"/>
    </row>
    <row r="40" spans="1:12" ht="11.25" customHeight="1">
      <c r="A40" s="57">
        <f t="shared" si="2"/>
        <v>26</v>
      </c>
      <c r="B40" s="58">
        <f>Midterm!B40</f>
        <v>0</v>
      </c>
      <c r="C40" s="59" t="str">
        <f>IF(I40="dna",I40,Midterm!S40)</f>
        <v/>
      </c>
      <c r="D40" s="60" t="str">
        <f>Midterm!T40</f>
        <v/>
      </c>
      <c r="E40" s="59" t="str">
        <f>IF(I40="dna",I40,Final!S40)</f>
        <v/>
      </c>
      <c r="F40" s="60" t="str">
        <f>Final!T40</f>
        <v/>
      </c>
      <c r="G40" s="61" t="str">
        <f t="shared" si="0"/>
        <v/>
      </c>
      <c r="H40" s="62" t="str">
        <f t="shared" si="1"/>
        <v/>
      </c>
      <c r="I40" s="63" t="str">
        <f>IF(Midterm!U40="dna","dna",IF(ISNUMBER(H40),IF(G40&lt;=3,"Passed","Failed"),H40))</f>
        <v/>
      </c>
      <c r="J40" s="64">
        <f>(MAX(Midterm!T40,D40)*0.5+MAX(Final!T40,F40)*0.5)</f>
        <v>0</v>
      </c>
      <c r="K40" s="65"/>
      <c r="L40" s="66"/>
    </row>
    <row r="41" spans="1:12" ht="11.25" customHeight="1">
      <c r="A41" s="57">
        <f t="shared" si="2"/>
        <v>27</v>
      </c>
      <c r="B41" s="58">
        <f>Midterm!B41</f>
        <v>0</v>
      </c>
      <c r="C41" s="59" t="str">
        <f>IF(I41="dna",I41,Midterm!S41)</f>
        <v/>
      </c>
      <c r="D41" s="60" t="str">
        <f>Midterm!T41</f>
        <v/>
      </c>
      <c r="E41" s="59" t="str">
        <f>IF(I41="dna",I41,Final!S41)</f>
        <v/>
      </c>
      <c r="F41" s="60" t="str">
        <f>Final!T41</f>
        <v/>
      </c>
      <c r="G41" s="61" t="str">
        <f t="shared" si="0"/>
        <v/>
      </c>
      <c r="H41" s="62" t="str">
        <f t="shared" si="1"/>
        <v/>
      </c>
      <c r="I41" s="63" t="str">
        <f>IF(Midterm!U41="dna","dna",IF(ISNUMBER(H41),IF(G41&lt;=3,"Passed","Failed"),H41))</f>
        <v/>
      </c>
      <c r="J41" s="64">
        <f>(MAX(Midterm!T41,D41)*0.5+MAX(Final!T41,F41)*0.5)</f>
        <v>0</v>
      </c>
      <c r="K41" s="65"/>
      <c r="L41" s="66"/>
    </row>
    <row r="42" spans="1:12" ht="11.25" customHeight="1">
      <c r="A42" s="57">
        <f t="shared" si="2"/>
        <v>28</v>
      </c>
      <c r="B42" s="58">
        <f>Midterm!B42</f>
        <v>0</v>
      </c>
      <c r="C42" s="59" t="str">
        <f>IF(I42="dna",I42,Midterm!S42)</f>
        <v/>
      </c>
      <c r="D42" s="60" t="str">
        <f>Midterm!T42</f>
        <v/>
      </c>
      <c r="E42" s="59" t="str">
        <f>IF(I42="dna",I42,Final!S42)</f>
        <v/>
      </c>
      <c r="F42" s="60" t="str">
        <f>Final!T42</f>
        <v/>
      </c>
      <c r="G42" s="61" t="str">
        <f t="shared" si="0"/>
        <v/>
      </c>
      <c r="H42" s="62" t="str">
        <f t="shared" si="1"/>
        <v/>
      </c>
      <c r="I42" s="63" t="str">
        <f>IF(Midterm!U42="dna","dna",IF(ISNUMBER(H42),IF(G42&lt;=3,"Passed","Failed"),H42))</f>
        <v/>
      </c>
      <c r="J42" s="64">
        <f>(MAX(Midterm!T42,D42)*0.5+MAX(Final!T42,F42)*0.5)</f>
        <v>0</v>
      </c>
      <c r="K42" s="65"/>
      <c r="L42" s="66"/>
    </row>
    <row r="43" spans="1:12" ht="11.25" customHeight="1">
      <c r="A43" s="57">
        <f t="shared" si="2"/>
        <v>29</v>
      </c>
      <c r="B43" s="58">
        <f>Midterm!B43</f>
        <v>0</v>
      </c>
      <c r="C43" s="59" t="str">
        <f>IF(I43="dna",I43,Midterm!S43)</f>
        <v/>
      </c>
      <c r="D43" s="60" t="str">
        <f>Midterm!T43</f>
        <v/>
      </c>
      <c r="E43" s="59" t="str">
        <f>IF(I43="dna",I43,Final!S43)</f>
        <v/>
      </c>
      <c r="F43" s="60" t="str">
        <f>Final!T43</f>
        <v/>
      </c>
      <c r="G43" s="61" t="str">
        <f t="shared" si="0"/>
        <v/>
      </c>
      <c r="H43" s="62" t="str">
        <f t="shared" si="1"/>
        <v/>
      </c>
      <c r="I43" s="63" t="str">
        <f>IF(Midterm!U43="dna","dna",IF(ISNUMBER(H43),IF(G43&lt;=3,"Passed","Failed"),H43))</f>
        <v/>
      </c>
      <c r="J43" s="64">
        <f>(MAX(Midterm!T43,D43)*0.5+MAX(Final!T43,F43)*0.5)</f>
        <v>0</v>
      </c>
      <c r="K43" s="65"/>
      <c r="L43" s="66"/>
    </row>
    <row r="44" spans="1:12" ht="11.25" customHeight="1">
      <c r="A44" s="57">
        <f t="shared" si="2"/>
        <v>30</v>
      </c>
      <c r="B44" s="58">
        <f>Midterm!B44</f>
        <v>0</v>
      </c>
      <c r="C44" s="59" t="str">
        <f>IF(I44="dna",I44,Midterm!S44)</f>
        <v/>
      </c>
      <c r="D44" s="60" t="str">
        <f>Midterm!T44</f>
        <v/>
      </c>
      <c r="E44" s="59" t="str">
        <f>IF(I44="dna",I44,Final!S44)</f>
        <v/>
      </c>
      <c r="F44" s="60" t="str">
        <f>Final!T44</f>
        <v/>
      </c>
      <c r="G44" s="61" t="str">
        <f t="shared" si="0"/>
        <v/>
      </c>
      <c r="H44" s="62" t="str">
        <f t="shared" si="1"/>
        <v/>
      </c>
      <c r="I44" s="63" t="str">
        <f>IF(Midterm!U44="dna","dna",IF(ISNUMBER(H44),IF(G44&lt;=3,"Passed","Failed"),H44))</f>
        <v/>
      </c>
      <c r="J44" s="64">
        <f>(MAX(Midterm!T44,D44)*0.5+MAX(Final!T44,F44)*0.5)</f>
        <v>0</v>
      </c>
      <c r="K44" s="65"/>
      <c r="L44" s="66"/>
    </row>
    <row r="45" spans="1:12" ht="11.25" customHeight="1">
      <c r="A45" s="57">
        <f t="shared" si="2"/>
        <v>31</v>
      </c>
      <c r="B45" s="58">
        <f>Midterm!B45</f>
        <v>0</v>
      </c>
      <c r="C45" s="59" t="str">
        <f>IF(I45="dna",I45,Midterm!S45)</f>
        <v/>
      </c>
      <c r="D45" s="60" t="str">
        <f>Midterm!T45</f>
        <v/>
      </c>
      <c r="E45" s="59" t="str">
        <f>IF(I45="dna",I45,Final!S45)</f>
        <v/>
      </c>
      <c r="F45" s="60" t="str">
        <f>Final!T45</f>
        <v/>
      </c>
      <c r="G45" s="61" t="str">
        <f t="shared" si="0"/>
        <v/>
      </c>
      <c r="H45" s="62" t="str">
        <f t="shared" si="1"/>
        <v/>
      </c>
      <c r="I45" s="63" t="str">
        <f>IF(Midterm!U45="dna","dna",IF(ISNUMBER(H45),IF(G45&lt;=3,"Passed","Failed"),H45))</f>
        <v/>
      </c>
      <c r="J45" s="64">
        <f>(MAX(Midterm!T45,D45)*0.5+MAX(Final!T45,F45)*0.5)</f>
        <v>0</v>
      </c>
      <c r="K45" s="65"/>
      <c r="L45" s="66"/>
    </row>
    <row r="46" spans="1:12" ht="11.25" customHeight="1">
      <c r="A46" s="57">
        <f t="shared" si="2"/>
        <v>32</v>
      </c>
      <c r="B46" s="58">
        <f>Midterm!B46</f>
        <v>0</v>
      </c>
      <c r="C46" s="59" t="str">
        <f>IF(I46="dna",I46,Midterm!S46)</f>
        <v/>
      </c>
      <c r="D46" s="60" t="str">
        <f>Midterm!T46</f>
        <v/>
      </c>
      <c r="E46" s="59" t="str">
        <f>IF(I46="dna",I46,Final!S46)</f>
        <v/>
      </c>
      <c r="F46" s="60" t="str">
        <f>Final!T46</f>
        <v/>
      </c>
      <c r="G46" s="61" t="str">
        <f t="shared" si="0"/>
        <v/>
      </c>
      <c r="H46" s="62" t="str">
        <f t="shared" si="1"/>
        <v/>
      </c>
      <c r="I46" s="63" t="str">
        <f>IF(Midterm!U46="dna","dna",IF(ISNUMBER(H46),IF(G46&lt;=3,"Passed","Failed"),H46))</f>
        <v/>
      </c>
      <c r="J46" s="64">
        <f>(MAX(Midterm!T46,D46)*0.5+MAX(Final!T46,F46)*0.5)</f>
        <v>0</v>
      </c>
      <c r="K46" s="65"/>
      <c r="L46" s="66"/>
    </row>
    <row r="47" spans="1:12" ht="11.25" customHeight="1">
      <c r="A47" s="57">
        <f t="shared" si="2"/>
        <v>33</v>
      </c>
      <c r="B47" s="58">
        <f>Midterm!B47</f>
        <v>0</v>
      </c>
      <c r="C47" s="59" t="str">
        <f>IF(I47="dna",I47,Midterm!S47)</f>
        <v/>
      </c>
      <c r="D47" s="60" t="str">
        <f>Midterm!T47</f>
        <v/>
      </c>
      <c r="E47" s="59" t="str">
        <f>IF(I47="dna",I47,Final!S47)</f>
        <v/>
      </c>
      <c r="F47" s="60" t="str">
        <f>Final!T47</f>
        <v/>
      </c>
      <c r="G47" s="61" t="str">
        <f t="shared" si="0"/>
        <v/>
      </c>
      <c r="H47" s="62" t="str">
        <f t="shared" ref="H47:H59" si="3">IF(ISNUMBER(F47),IF($P$6=1,INT(J47+0.5),J47),F47)</f>
        <v/>
      </c>
      <c r="I47" s="63" t="str">
        <f>IF(Midterm!U47="dna","dna",IF(ISNUMBER(H47),IF(G47&lt;=3,"Passed","Failed"),H47))</f>
        <v/>
      </c>
      <c r="J47" s="64">
        <f>(MAX(Midterm!T47,D47)*0.5+MAX(Final!T47,F47)*0.5)</f>
        <v>0</v>
      </c>
      <c r="K47" s="65"/>
      <c r="L47" s="66"/>
    </row>
    <row r="48" spans="1:12" ht="11.25" customHeight="1">
      <c r="A48" s="57">
        <f t="shared" si="2"/>
        <v>34</v>
      </c>
      <c r="B48" s="58">
        <f>Midterm!B48</f>
        <v>0</v>
      </c>
      <c r="C48" s="59" t="str">
        <f>IF(I48="dna",I48,Midterm!S48)</f>
        <v/>
      </c>
      <c r="D48" s="60" t="str">
        <f>Midterm!T48</f>
        <v/>
      </c>
      <c r="E48" s="59" t="str">
        <f>IF(I48="dna",I48,Final!S48)</f>
        <v/>
      </c>
      <c r="F48" s="60" t="str">
        <f>Final!T48</f>
        <v/>
      </c>
      <c r="G48" s="61" t="str">
        <f t="shared" si="0"/>
        <v/>
      </c>
      <c r="H48" s="62" t="str">
        <f t="shared" si="3"/>
        <v/>
      </c>
      <c r="I48" s="63" t="str">
        <f>IF(Midterm!U48="dna","dna",IF(ISNUMBER(H48),IF(G48&lt;=3,"Passed","Failed"),H48))</f>
        <v/>
      </c>
      <c r="J48" s="64">
        <f>(MAX(Midterm!T48,D48)*0.5+MAX(Final!T48,F48)*0.5)</f>
        <v>0</v>
      </c>
      <c r="K48" s="65"/>
      <c r="L48" s="66"/>
    </row>
    <row r="49" spans="1:12" ht="11.25" customHeight="1">
      <c r="A49" s="57">
        <f t="shared" si="2"/>
        <v>35</v>
      </c>
      <c r="B49" s="58">
        <f>Midterm!B49</f>
        <v>0</v>
      </c>
      <c r="C49" s="59" t="str">
        <f>IF(I49="dna",I49,Midterm!S49)</f>
        <v/>
      </c>
      <c r="D49" s="60" t="str">
        <f>Midterm!T49</f>
        <v/>
      </c>
      <c r="E49" s="59" t="str">
        <f>IF(I49="dna",I49,Final!S49)</f>
        <v/>
      </c>
      <c r="F49" s="60" t="str">
        <f>Final!T49</f>
        <v/>
      </c>
      <c r="G49" s="61" t="str">
        <f t="shared" si="0"/>
        <v/>
      </c>
      <c r="H49" s="62" t="str">
        <f t="shared" si="3"/>
        <v/>
      </c>
      <c r="I49" s="63" t="str">
        <f>IF(Midterm!U49="dna","dna",IF(ISNUMBER(H49),IF(G49&lt;=3,"Passed","Failed"),H49))</f>
        <v/>
      </c>
      <c r="J49" s="64">
        <f>(MAX(Midterm!T49,D49)*0.5+MAX(Final!T49,F49)*0.5)</f>
        <v>0</v>
      </c>
      <c r="K49" s="65"/>
      <c r="L49" s="66"/>
    </row>
    <row r="50" spans="1:12" ht="11.25" customHeight="1">
      <c r="A50" s="57">
        <f t="shared" si="2"/>
        <v>36</v>
      </c>
      <c r="B50" s="58">
        <f>Midterm!B50</f>
        <v>0</v>
      </c>
      <c r="C50" s="59" t="str">
        <f>IF(I50="dna",I50,Midterm!S50)</f>
        <v/>
      </c>
      <c r="D50" s="60" t="str">
        <f>Midterm!T50</f>
        <v/>
      </c>
      <c r="E50" s="59" t="str">
        <f>IF(I50="dna",I50,Final!S50)</f>
        <v/>
      </c>
      <c r="F50" s="60" t="str">
        <f>Final!T50</f>
        <v/>
      </c>
      <c r="G50" s="61" t="str">
        <f t="shared" si="0"/>
        <v/>
      </c>
      <c r="H50" s="62" t="str">
        <f t="shared" si="3"/>
        <v/>
      </c>
      <c r="I50" s="63" t="str">
        <f>IF(Midterm!U50="dna","dna",IF(ISNUMBER(H50),IF(G50&lt;=3,"Passed","Failed"),H50))</f>
        <v/>
      </c>
      <c r="J50" s="64">
        <f>(MAX(Midterm!T50,D50)*0.5+MAX(Final!T50,F50)*0.5)</f>
        <v>0</v>
      </c>
      <c r="K50" s="65"/>
      <c r="L50" s="66"/>
    </row>
    <row r="51" spans="1:12" ht="11.25" customHeight="1">
      <c r="A51" s="57">
        <f t="shared" si="2"/>
        <v>37</v>
      </c>
      <c r="B51" s="58">
        <f>Midterm!B51</f>
        <v>0</v>
      </c>
      <c r="C51" s="59" t="str">
        <f>IF(I51="dna",I51,Midterm!S51)</f>
        <v/>
      </c>
      <c r="D51" s="60" t="str">
        <f>Midterm!T51</f>
        <v/>
      </c>
      <c r="E51" s="59" t="str">
        <f>IF(I51="dna",I51,Final!S51)</f>
        <v/>
      </c>
      <c r="F51" s="60" t="str">
        <f>Final!T51</f>
        <v/>
      </c>
      <c r="G51" s="61" t="str">
        <f t="shared" si="0"/>
        <v/>
      </c>
      <c r="H51" s="62" t="str">
        <f t="shared" si="3"/>
        <v/>
      </c>
      <c r="I51" s="63" t="str">
        <f>IF(Midterm!U51="dna","dna",IF(ISNUMBER(H51),IF(G51&lt;=3,"Passed","Failed"),H51))</f>
        <v/>
      </c>
      <c r="J51" s="64">
        <f>(MAX(Midterm!T51,D51)*0.5+MAX(Final!T51,F51)*0.5)</f>
        <v>0</v>
      </c>
      <c r="K51" s="65"/>
      <c r="L51" s="66"/>
    </row>
    <row r="52" spans="1:12" ht="11.25" customHeight="1">
      <c r="A52" s="57">
        <f t="shared" si="2"/>
        <v>38</v>
      </c>
      <c r="B52" s="58">
        <f>Midterm!B52</f>
        <v>0</v>
      </c>
      <c r="C52" s="59" t="str">
        <f>IF(I52="dna",I52,Midterm!S52)</f>
        <v/>
      </c>
      <c r="D52" s="60" t="str">
        <f>Midterm!T52</f>
        <v/>
      </c>
      <c r="E52" s="59" t="str">
        <f>IF(I52="dna",I52,Final!S52)</f>
        <v/>
      </c>
      <c r="F52" s="60" t="str">
        <f>Final!T52</f>
        <v/>
      </c>
      <c r="G52" s="61" t="str">
        <f t="shared" si="0"/>
        <v/>
      </c>
      <c r="H52" s="62" t="str">
        <f t="shared" si="3"/>
        <v/>
      </c>
      <c r="I52" s="63" t="str">
        <f>IF(Midterm!U52="dna","dna",IF(ISNUMBER(H52),IF(G52&lt;=3,"Passed","Failed"),H52))</f>
        <v/>
      </c>
      <c r="J52" s="64">
        <f>(MAX(Midterm!T52,D52)*0.5+MAX(Final!T52,F52)*0.5)</f>
        <v>0</v>
      </c>
      <c r="K52" s="65"/>
      <c r="L52" s="66"/>
    </row>
    <row r="53" spans="1:12" ht="11.25" customHeight="1">
      <c r="A53" s="57">
        <f t="shared" si="2"/>
        <v>39</v>
      </c>
      <c r="B53" s="58">
        <f>Midterm!B53</f>
        <v>0</v>
      </c>
      <c r="C53" s="59" t="str">
        <f>IF(I53="dna",I53,Midterm!S53)</f>
        <v/>
      </c>
      <c r="D53" s="60" t="str">
        <f>Midterm!T53</f>
        <v/>
      </c>
      <c r="E53" s="59" t="str">
        <f>IF(I53="dna",I53,Final!S53)</f>
        <v/>
      </c>
      <c r="F53" s="60" t="str">
        <f>Final!T53</f>
        <v/>
      </c>
      <c r="G53" s="61" t="str">
        <f t="shared" si="0"/>
        <v/>
      </c>
      <c r="H53" s="62" t="str">
        <f t="shared" si="3"/>
        <v/>
      </c>
      <c r="I53" s="63" t="str">
        <f>IF(Midterm!U53="dna","dna",IF(ISNUMBER(H53),IF(G53&lt;=3,"Passed","Failed"),H53))</f>
        <v/>
      </c>
      <c r="J53" s="64">
        <f>(MAX(Midterm!T53,D53)*0.5+MAX(Final!T53,F53)*0.5)</f>
        <v>0</v>
      </c>
      <c r="K53" s="65"/>
      <c r="L53" s="66"/>
    </row>
    <row r="54" spans="1:12" ht="11.25" customHeight="1">
      <c r="A54" s="57">
        <f t="shared" si="2"/>
        <v>40</v>
      </c>
      <c r="B54" s="58">
        <f>Midterm!B54</f>
        <v>0</v>
      </c>
      <c r="C54" s="59" t="str">
        <f>IF(I54="dna",I54,Midterm!S54)</f>
        <v/>
      </c>
      <c r="D54" s="60" t="str">
        <f>Midterm!T54</f>
        <v/>
      </c>
      <c r="E54" s="59" t="str">
        <f>IF(I54="dna",I54,Final!S54)</f>
        <v/>
      </c>
      <c r="F54" s="60" t="str">
        <f>Final!T54</f>
        <v/>
      </c>
      <c r="G54" s="61" t="str">
        <f t="shared" si="0"/>
        <v/>
      </c>
      <c r="H54" s="62" t="str">
        <f t="shared" si="3"/>
        <v/>
      </c>
      <c r="I54" s="63" t="str">
        <f>IF(Midterm!U54="dna","dna",IF(ISNUMBER(H54),IF(G54&lt;=3,"Passed","Failed"),H54))</f>
        <v/>
      </c>
      <c r="J54" s="64">
        <f>(MAX(Midterm!T54,D54)*0.5+MAX(Final!T54,F54)*0.5)</f>
        <v>0</v>
      </c>
      <c r="K54" s="66"/>
      <c r="L54" s="66"/>
    </row>
    <row r="55" spans="1:12" ht="11.25" customHeight="1">
      <c r="A55" s="57">
        <f t="shared" ref="A55:A59" si="4">A54+1</f>
        <v>41</v>
      </c>
      <c r="B55" s="58">
        <f>Midterm!B55</f>
        <v>0</v>
      </c>
      <c r="C55" s="59" t="str">
        <f>IF(I55="dna",I55,Midterm!S55)</f>
        <v/>
      </c>
      <c r="D55" s="60" t="str">
        <f>Midterm!T55</f>
        <v/>
      </c>
      <c r="E55" s="59" t="str">
        <f>IF(I55="dna",I55,Final!S55)</f>
        <v/>
      </c>
      <c r="F55" s="60" t="str">
        <f>Final!T55</f>
        <v/>
      </c>
      <c r="G55" s="61" t="str">
        <f t="shared" ref="G55:G59" si="5">IF(ISNUMBER(H55),VLOOKUP(H55,EQTable,2),H55)</f>
        <v/>
      </c>
      <c r="H55" s="62" t="str">
        <f t="shared" si="3"/>
        <v/>
      </c>
      <c r="I55" s="63" t="str">
        <f>IF(Midterm!U55="dna","dna",IF(ISNUMBER(H55),IF(G55&lt;=3,"Passed","Failed"),H55))</f>
        <v/>
      </c>
      <c r="J55" s="64">
        <f>(MAX(Midterm!T55,D55)*0.5+MAX(Final!T55,F55)*0.5)</f>
        <v>0</v>
      </c>
      <c r="K55" s="66"/>
      <c r="L55" s="66"/>
    </row>
    <row r="56" spans="1:12" ht="11.25" customHeight="1">
      <c r="A56" s="57">
        <f t="shared" si="4"/>
        <v>42</v>
      </c>
      <c r="B56" s="58">
        <f>Midterm!B56</f>
        <v>0</v>
      </c>
      <c r="C56" s="59" t="str">
        <f>IF(I56="dna",I56,Midterm!S56)</f>
        <v/>
      </c>
      <c r="D56" s="60" t="str">
        <f>Midterm!T56</f>
        <v/>
      </c>
      <c r="E56" s="59" t="str">
        <f>IF(I56="dna",I56,Final!S56)</f>
        <v/>
      </c>
      <c r="F56" s="60" t="str">
        <f>Final!T56</f>
        <v/>
      </c>
      <c r="G56" s="61" t="str">
        <f t="shared" si="5"/>
        <v/>
      </c>
      <c r="H56" s="62" t="str">
        <f t="shared" si="3"/>
        <v/>
      </c>
      <c r="I56" s="63" t="str">
        <f>IF(Midterm!U56="dna","dna",IF(ISNUMBER(H56),IF(G56&lt;=3,"Passed","Failed"),H56))</f>
        <v/>
      </c>
      <c r="J56" s="64">
        <f>(MAX(Midterm!T56,D56)*0.5+MAX(Final!T56,F56)*0.5)</f>
        <v>0</v>
      </c>
      <c r="K56" s="66"/>
      <c r="L56" s="66"/>
    </row>
    <row r="57" spans="1:12" ht="11.25" customHeight="1">
      <c r="A57" s="57">
        <f t="shared" si="4"/>
        <v>43</v>
      </c>
      <c r="B57" s="58">
        <f>Midterm!B57</f>
        <v>0</v>
      </c>
      <c r="C57" s="59" t="str">
        <f>IF(I57="dna",I57,Midterm!S57)</f>
        <v/>
      </c>
      <c r="D57" s="60" t="str">
        <f>Midterm!T57</f>
        <v/>
      </c>
      <c r="E57" s="59" t="str">
        <f>IF(I57="dna",I57,Final!S57)</f>
        <v/>
      </c>
      <c r="F57" s="60" t="str">
        <f>Final!T57</f>
        <v/>
      </c>
      <c r="G57" s="61" t="str">
        <f t="shared" si="5"/>
        <v/>
      </c>
      <c r="H57" s="62" t="str">
        <f t="shared" si="3"/>
        <v/>
      </c>
      <c r="I57" s="63" t="str">
        <f>IF(Midterm!U57="dna","dna",IF(ISNUMBER(H57),IF(G57&lt;=3,"Passed","Failed"),H57))</f>
        <v/>
      </c>
      <c r="J57" s="64">
        <f>(MAX(Midterm!T57,D57)*0.5+MAX(Final!T57,F57)*0.5)</f>
        <v>0</v>
      </c>
      <c r="K57" s="66"/>
      <c r="L57" s="66"/>
    </row>
    <row r="58" spans="1:12" ht="11.25" customHeight="1">
      <c r="A58" s="57">
        <f t="shared" si="4"/>
        <v>44</v>
      </c>
      <c r="B58" s="58">
        <f>Midterm!B58</f>
        <v>0</v>
      </c>
      <c r="C58" s="59" t="str">
        <f>IF(I58="dna",I58,Midterm!S58)</f>
        <v/>
      </c>
      <c r="D58" s="60" t="str">
        <f>Midterm!T58</f>
        <v/>
      </c>
      <c r="E58" s="59" t="str">
        <f>IF(I58="dna",I58,Final!S58)</f>
        <v/>
      </c>
      <c r="F58" s="60" t="str">
        <f>Final!T58</f>
        <v/>
      </c>
      <c r="G58" s="61" t="str">
        <f t="shared" si="5"/>
        <v/>
      </c>
      <c r="H58" s="62" t="str">
        <f t="shared" si="3"/>
        <v/>
      </c>
      <c r="I58" s="63" t="str">
        <f>IF(Midterm!U58="dna","dna",IF(ISNUMBER(H58),IF(G58&lt;=3,"Passed","Failed"),H58))</f>
        <v/>
      </c>
      <c r="J58" s="64">
        <f>(MAX(Midterm!T58,D58)*0.5+MAX(Final!T58,F58)*0.5)</f>
        <v>0</v>
      </c>
      <c r="K58" s="66"/>
      <c r="L58" s="66"/>
    </row>
    <row r="59" spans="1:12" ht="11.25" customHeight="1">
      <c r="A59" s="57">
        <f t="shared" si="4"/>
        <v>45</v>
      </c>
      <c r="B59" s="58">
        <f>Midterm!B59</f>
        <v>0</v>
      </c>
      <c r="C59" s="59" t="str">
        <f>IF(I59="dna",I59,Midterm!S59)</f>
        <v/>
      </c>
      <c r="D59" s="60" t="str">
        <f>Midterm!T59</f>
        <v/>
      </c>
      <c r="E59" s="59" t="str">
        <f>IF(I59="dna",I59,Final!S59)</f>
        <v/>
      </c>
      <c r="F59" s="60" t="str">
        <f>Final!T59</f>
        <v/>
      </c>
      <c r="G59" s="61" t="str">
        <f t="shared" si="5"/>
        <v/>
      </c>
      <c r="H59" s="62" t="str">
        <f t="shared" si="3"/>
        <v/>
      </c>
      <c r="I59" s="63" t="str">
        <f>IF(Midterm!U59="dna","dna",IF(ISNUMBER(H59),IF(G59&lt;=3,"Passed","Failed"),H59))</f>
        <v/>
      </c>
      <c r="J59" s="64">
        <f>(MAX(Midterm!T59,D59)*0.5+MAX(Final!T59,F59)*0.5)</f>
        <v>0</v>
      </c>
      <c r="K59" s="66"/>
      <c r="L59" s="66"/>
    </row>
    <row r="60" spans="1:12" ht="12" customHeight="1">
      <c r="A60" s="68"/>
      <c r="B60" s="69" t="s">
        <v>64</v>
      </c>
      <c r="C60" s="68" t="str">
        <f>Midterm!F3</f>
        <v>FAJARDO, REBECCA R.</v>
      </c>
      <c r="D60" s="70"/>
      <c r="E60" s="70"/>
      <c r="F60" s="70"/>
      <c r="G60" s="66"/>
      <c r="H60" s="71"/>
      <c r="I60" s="72"/>
      <c r="J60" s="64" t="e">
        <f>(MAX(Midterm!#REF!,D60)*0.5+MAX(Final!#REF!,F60)*0.5)</f>
        <v>#REF!</v>
      </c>
      <c r="K60" s="65"/>
      <c r="L60" s="66"/>
    </row>
    <row r="61" spans="1:12" ht="9" customHeight="1">
      <c r="A61" s="68"/>
      <c r="B61" s="69"/>
      <c r="C61" s="73"/>
      <c r="D61" s="66"/>
      <c r="E61" s="66"/>
      <c r="F61" s="66"/>
      <c r="G61" s="66"/>
      <c r="H61" s="74" t="s">
        <v>65</v>
      </c>
      <c r="I61" s="75">
        <f>COUNTIF(I15:I59,"Passed")</f>
        <v>0</v>
      </c>
      <c r="J61" s="64" t="e">
        <f>(MAX(Midterm!#REF!,D61)*0.5+MAX(Final!#REF!,F61)*0.5)</f>
        <v>#REF!</v>
      </c>
      <c r="K61" s="65"/>
      <c r="L61" s="66"/>
    </row>
    <row r="62" spans="1:12" ht="9" customHeight="1">
      <c r="A62" s="68"/>
      <c r="B62" s="69" t="s">
        <v>66</v>
      </c>
      <c r="C62" s="73"/>
      <c r="D62" s="66"/>
      <c r="E62" s="66"/>
      <c r="F62" s="66"/>
      <c r="G62" s="66"/>
      <c r="H62" s="76" t="s">
        <v>67</v>
      </c>
      <c r="I62" s="77">
        <f>COUNTIF(I15:I59,"Failed")</f>
        <v>0</v>
      </c>
      <c r="J62" s="64" t="e">
        <f>(MAX(Midterm!#REF!,D62)*0.5+MAX(Final!#REF!,F62)*0.5)</f>
        <v>#REF!</v>
      </c>
      <c r="K62" s="65"/>
      <c r="L62" s="66"/>
    </row>
    <row r="63" spans="1:12" ht="9" customHeight="1">
      <c r="A63" s="68"/>
      <c r="B63" s="69"/>
      <c r="C63" s="73"/>
      <c r="D63" s="66"/>
      <c r="E63" s="66"/>
      <c r="F63" s="66"/>
      <c r="G63" s="66"/>
      <c r="H63" s="78" t="s">
        <v>68</v>
      </c>
      <c r="I63" s="79">
        <f>COUNTIF(I15:I59,"Drp")</f>
        <v>0</v>
      </c>
      <c r="J63" s="64" t="e">
        <f>(MAX(Midterm!#REF!,D63)*0.5+MAX(Final!#REF!,F63)*0.5)</f>
        <v>#REF!</v>
      </c>
      <c r="K63" s="65"/>
      <c r="L63" s="66"/>
    </row>
    <row r="64" spans="1:12" ht="9" customHeight="1">
      <c r="A64" s="68"/>
      <c r="B64" s="69" t="s">
        <v>69</v>
      </c>
      <c r="C64" s="80"/>
      <c r="D64" s="66"/>
      <c r="E64" s="66"/>
      <c r="F64" s="66"/>
      <c r="G64" s="66"/>
      <c r="H64" s="81">
        <v>3</v>
      </c>
      <c r="I64" s="82">
        <f>COUNTIF(G15:G59,3)</f>
        <v>0</v>
      </c>
      <c r="J64" s="64" t="e">
        <f>(MAX(Midterm!#REF!,D64)*0.5+MAX(Final!#REF!,F64)*0.5)</f>
        <v>#REF!</v>
      </c>
      <c r="K64" s="65"/>
      <c r="L64" s="66"/>
    </row>
    <row r="65" spans="1:12" ht="9" customHeight="1">
      <c r="A65" s="68"/>
      <c r="B65" s="69"/>
      <c r="C65" s="69"/>
      <c r="D65" s="66"/>
      <c r="E65" s="66"/>
      <c r="F65" s="66"/>
      <c r="G65" s="66"/>
      <c r="H65" s="83">
        <v>2.75</v>
      </c>
      <c r="I65" s="84">
        <f>COUNTIF(G15:G59,2.75)</f>
        <v>0</v>
      </c>
      <c r="J65" s="64" t="e">
        <f>(MAX(Midterm!#REF!,D65)*0.5+MAX(Final!#REF!,F65)*0.5)</f>
        <v>#REF!</v>
      </c>
      <c r="K65" s="65"/>
      <c r="L65" s="66"/>
    </row>
    <row r="66" spans="1:12" ht="9" customHeight="1">
      <c r="A66" s="68"/>
      <c r="B66" s="69" t="s">
        <v>70</v>
      </c>
      <c r="C66" s="80"/>
      <c r="D66" s="66"/>
      <c r="E66" s="66"/>
      <c r="F66" s="66"/>
      <c r="G66" s="66"/>
      <c r="H66" s="83">
        <v>2.5</v>
      </c>
      <c r="I66" s="84">
        <f>COUNTIF(G15:G59,2.5)</f>
        <v>0</v>
      </c>
      <c r="J66" s="64" t="e">
        <f>(MAX(Midterm!#REF!,D66)*0.5+MAX(Final!#REF!,F66)*0.5)</f>
        <v>#REF!</v>
      </c>
      <c r="K66" s="65"/>
      <c r="L66" s="66"/>
    </row>
    <row r="67" spans="1:12" ht="9" customHeight="1">
      <c r="A67" s="68"/>
      <c r="B67" s="69"/>
      <c r="C67" s="69"/>
      <c r="D67" s="66"/>
      <c r="E67" s="66"/>
      <c r="F67" s="66"/>
      <c r="G67" s="66"/>
      <c r="H67" s="83">
        <v>2.25</v>
      </c>
      <c r="I67" s="84">
        <f>COUNTIF(G15:G59,2.25)</f>
        <v>0</v>
      </c>
      <c r="J67" s="64" t="e">
        <f>(MAX(Midterm!#REF!,D67)*0.5+MAX(Final!#REF!,F67)*0.5)</f>
        <v>#REF!</v>
      </c>
      <c r="K67" s="65"/>
      <c r="L67" s="66"/>
    </row>
    <row r="68" spans="1:12" ht="9" customHeight="1">
      <c r="A68" s="68"/>
      <c r="B68" s="69"/>
      <c r="C68" s="69"/>
      <c r="D68" s="66"/>
      <c r="E68" s="66"/>
      <c r="F68" s="66"/>
      <c r="G68" s="66"/>
      <c r="H68" s="83">
        <v>2</v>
      </c>
      <c r="I68" s="84">
        <f>COUNTIF(G15:G59,2)</f>
        <v>0</v>
      </c>
      <c r="J68" s="64" t="e">
        <f>(MAX(Midterm!#REF!,D68)*0.5+MAX(Final!#REF!,F68)*0.5)</f>
        <v>#REF!</v>
      </c>
      <c r="K68" s="65"/>
      <c r="L68" s="66"/>
    </row>
    <row r="69" spans="1:12" ht="9" customHeight="1">
      <c r="A69" s="68"/>
      <c r="B69" s="69"/>
      <c r="D69" s="66"/>
      <c r="E69" s="66"/>
      <c r="F69" s="66"/>
      <c r="G69" s="66"/>
      <c r="H69" s="83">
        <v>1.75</v>
      </c>
      <c r="I69" s="84">
        <f>COUNTIF(G15:G59,1.75)</f>
        <v>0</v>
      </c>
      <c r="J69" s="64" t="e">
        <f>(MAX(Midterm!#REF!,D69)*0.5+MAX(Final!#REF!,F69)*0.5)</f>
        <v>#REF!</v>
      </c>
      <c r="K69" s="65"/>
      <c r="L69" s="66"/>
    </row>
    <row r="70" spans="1:12" ht="9" customHeight="1">
      <c r="A70" s="68"/>
      <c r="B70" s="69"/>
      <c r="C70" s="69"/>
      <c r="D70" s="66"/>
      <c r="E70" s="66"/>
      <c r="F70" s="66"/>
      <c r="G70" s="66"/>
      <c r="H70" s="83">
        <v>1.5</v>
      </c>
      <c r="I70" s="84">
        <f>COUNTIF(G15:G59,1.5)</f>
        <v>0</v>
      </c>
      <c r="J70" s="64" t="e">
        <f>(MAX(Midterm!#REF!,D70)*0.5+MAX(Final!#REF!,F70)*0.5)</f>
        <v>#REF!</v>
      </c>
      <c r="K70" s="65"/>
      <c r="L70" s="66"/>
    </row>
    <row r="71" spans="1:12" ht="9" customHeight="1">
      <c r="A71" s="68"/>
      <c r="B71" s="69"/>
      <c r="C71" s="69"/>
      <c r="D71" s="66"/>
      <c r="E71" s="66"/>
      <c r="F71" s="66"/>
      <c r="G71" s="66"/>
      <c r="H71" s="83">
        <v>1.25</v>
      </c>
      <c r="I71" s="84">
        <f>COUNTIF(G15:G59,1.25)</f>
        <v>0</v>
      </c>
      <c r="J71" s="64" t="e">
        <f>(MAX(Midterm!#REF!,D71)*0.5+MAX(Final!#REF!,F71)*0.5)</f>
        <v>#REF!</v>
      </c>
      <c r="K71" s="65"/>
      <c r="L71" s="66"/>
    </row>
    <row r="72" spans="1:12" ht="9" customHeight="1">
      <c r="A72" s="68"/>
      <c r="B72" s="69"/>
      <c r="C72" s="69"/>
      <c r="D72" s="66"/>
      <c r="E72" s="66"/>
      <c r="F72" s="66"/>
      <c r="G72" s="66"/>
      <c r="H72" s="83">
        <v>1</v>
      </c>
      <c r="I72" s="84">
        <f>COUNTIF(G15:G59,1)</f>
        <v>0</v>
      </c>
      <c r="J72" s="64" t="e">
        <f>(MAX(Midterm!#REF!,D72)*0.5+MAX(Final!#REF!,F72)*0.5)</f>
        <v>#REF!</v>
      </c>
      <c r="K72" s="65"/>
      <c r="L72" s="66"/>
    </row>
    <row r="73" spans="1:12" ht="9.9" customHeight="1">
      <c r="A73" s="68"/>
      <c r="B73" s="69"/>
      <c r="C73" s="69"/>
      <c r="D73" s="66"/>
      <c r="E73" s="66"/>
      <c r="F73" s="66"/>
      <c r="G73" s="66"/>
      <c r="H73" s="66"/>
      <c r="I73" s="66"/>
      <c r="J73" s="64" t="e">
        <f>(MAX(Midterm!#REF!,D73)*0.5+MAX(Final!#REF!,F73)*0.5)</f>
        <v>#REF!</v>
      </c>
      <c r="K73" s="65"/>
      <c r="L73" s="66"/>
    </row>
    <row r="74" spans="1:12" ht="9.9" customHeight="1">
      <c r="A74" s="66"/>
      <c r="B74" s="66"/>
      <c r="C74" s="69"/>
      <c r="D74" s="66"/>
      <c r="E74" s="66"/>
      <c r="F74" s="66"/>
      <c r="G74" s="66"/>
      <c r="H74" s="66"/>
      <c r="I74" s="66"/>
      <c r="J74" s="64" t="e">
        <f>(MAX(Midterm!#REF!,D74)*0.5+MAX(Final!#REF!,F74)*0.5)</f>
        <v>#REF!</v>
      </c>
      <c r="K74" s="66"/>
      <c r="L74" s="66"/>
    </row>
    <row r="75" spans="1:12">
      <c r="A75" s="66"/>
      <c r="B75" s="66"/>
      <c r="C75" s="69"/>
      <c r="D75" s="66"/>
      <c r="E75" s="66"/>
      <c r="F75" s="66"/>
      <c r="G75" s="66"/>
      <c r="H75" s="66"/>
      <c r="I75" s="66"/>
      <c r="J75" s="85"/>
      <c r="K75" s="66"/>
      <c r="L75" s="66"/>
    </row>
    <row r="76" spans="1:12">
      <c r="A76" s="66"/>
      <c r="B76" s="66"/>
      <c r="C76" s="69"/>
      <c r="E76" s="66"/>
      <c r="F76" s="66"/>
      <c r="G76" s="66"/>
      <c r="H76" s="66"/>
      <c r="I76" s="66"/>
      <c r="J76" s="85"/>
      <c r="K76" s="66"/>
      <c r="L76" s="66"/>
    </row>
    <row r="77" spans="1:12">
      <c r="A77" s="66"/>
      <c r="B77" s="3"/>
      <c r="C77" s="66"/>
      <c r="D77" s="66"/>
      <c r="E77" s="66"/>
      <c r="F77" s="66"/>
      <c r="G77" s="66"/>
      <c r="H77" s="66"/>
      <c r="I77" s="66"/>
      <c r="J77" s="85"/>
      <c r="K77" s="66"/>
      <c r="L77" s="66"/>
    </row>
    <row r="78" spans="1:12">
      <c r="A78" s="66"/>
      <c r="B78" s="3"/>
      <c r="C78" s="66"/>
      <c r="D78" s="66"/>
      <c r="E78" s="66"/>
      <c r="F78" s="66"/>
      <c r="G78" s="66"/>
      <c r="H78" s="3"/>
      <c r="I78" s="3"/>
      <c r="J78" s="85"/>
      <c r="K78" s="66"/>
      <c r="L78" s="66"/>
    </row>
    <row r="79" spans="1:12">
      <c r="A79" s="66"/>
      <c r="B79" s="3"/>
      <c r="C79" s="66"/>
      <c r="D79" s="66"/>
      <c r="E79" s="66"/>
      <c r="F79" s="66"/>
      <c r="G79" s="66"/>
      <c r="H79" s="3"/>
      <c r="I79" s="3"/>
      <c r="J79" s="85"/>
      <c r="K79" s="66"/>
      <c r="L79" s="66"/>
    </row>
    <row r="80" spans="1:12" s="3" customFormat="1">
      <c r="J80" s="86"/>
    </row>
    <row r="81" spans="2:10" s="3" customFormat="1">
      <c r="B81" s="4"/>
      <c r="J81" s="86"/>
    </row>
    <row r="82" spans="2:10" s="3" customFormat="1">
      <c r="B82" s="4"/>
      <c r="H82" s="4"/>
      <c r="I82" s="4"/>
      <c r="J82" s="86"/>
    </row>
    <row r="83" spans="2:10" s="3" customFormat="1">
      <c r="B83" s="4"/>
      <c r="H83" s="4"/>
      <c r="I83" s="4"/>
      <c r="J83" s="86"/>
    </row>
  </sheetData>
  <sheetProtection algorithmName="SHA-512" hashValue="tqGc9pp4+a2QtOIvrGd9kstJOQctOrpSa79WpvWsboxiFXjaYG9FCI24y8bibicD9YbKUju3mLwYNCoS1zStgw==" saltValue="H/JBP6HYXQE7NPAIsPZ9aA==" spinCount="100000" sheet="1" objects="1" scenarios="1"/>
  <conditionalFormatting sqref="B15:B59">
    <cfRule type="cellIs" dxfId="9" priority="47" operator="equal">
      <formula>0</formula>
    </cfRule>
  </conditionalFormatting>
  <conditionalFormatting sqref="B15:I59">
    <cfRule type="expression" dxfId="8" priority="92">
      <formula>AND($I15="Failed",$H15&gt;=#REF!,$Q$6=1)</formula>
    </cfRule>
  </conditionalFormatting>
  <conditionalFormatting sqref="C15:C59 E15:E59 G15:G59">
    <cfRule type="cellIs" dxfId="7" priority="50" operator="equal">
      <formula>5</formula>
    </cfRule>
  </conditionalFormatting>
  <conditionalFormatting sqref="E15:E59 C15:C59">
    <cfRule type="cellIs" dxfId="6" priority="14" stopIfTrue="1" operator="equal">
      <formula>"inc"</formula>
    </cfRule>
  </conditionalFormatting>
  <conditionalFormatting sqref="E15:E59">
    <cfRule type="expression" dxfId="5" priority="5" stopIfTrue="1">
      <formula>$N$28=TRUE</formula>
    </cfRule>
  </conditionalFormatting>
  <conditionalFormatting sqref="F15:F59 H15:H59 D15:D59">
    <cfRule type="cellIs" dxfId="4" priority="46" operator="lessThan">
      <formula>75</formula>
    </cfRule>
  </conditionalFormatting>
  <conditionalFormatting sqref="F15:F59">
    <cfRule type="expression" dxfId="3" priority="15" stopIfTrue="1">
      <formula>E15="inc"</formula>
    </cfRule>
  </conditionalFormatting>
  <conditionalFormatting sqref="G15:H59">
    <cfRule type="expression" dxfId="2" priority="1">
      <formula>$I15="dna"</formula>
    </cfRule>
    <cfRule type="expression" dxfId="1" priority="2">
      <formula>$I15="drp"</formula>
    </cfRule>
  </conditionalFormatting>
  <conditionalFormatting sqref="J15:K15 I15:I59 K16:K53 J16:J74">
    <cfRule type="cellIs" dxfId="0" priority="49" operator="equal">
      <formula>"Failed"</formula>
    </cfRule>
  </conditionalFormatting>
  <pageMargins left="0.25" right="0.25" top="0.75" bottom="0.75" header="0.3" footer="0.3"/>
  <pageSetup scale="94" fitToWidth="0" orientation="portrait" horizontalDpi="360" verticalDpi="360"/>
  <headerFooter>
    <oddFooter>&amp;C&amp;F</oddFoot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" master="" otherUserPermission="visible"/>
  <rangeList sheetStid="18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Guide</vt:lpstr>
      <vt:lpstr>Midterm</vt:lpstr>
      <vt:lpstr>Final</vt:lpstr>
      <vt:lpstr>Semestral</vt:lpstr>
      <vt:lpstr>EQTable</vt:lpstr>
      <vt:lpstr>Final!Print_Area</vt:lpstr>
      <vt:lpstr>Midterm!Print_Area</vt:lpstr>
      <vt:lpstr>Semestral!Print_Area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PLP CCS Grading Sheet</dc:title>
  <dc:creator>Riegie Tan</dc:creator>
  <cp:keywords>Grading Template; Grading Sheet</cp:keywords>
  <cp:lastModifiedBy>Stephen Shane Acierto</cp:lastModifiedBy>
  <cp:lastPrinted>2026-04-22T10:59:00Z</cp:lastPrinted>
  <dcterms:created xsi:type="dcterms:W3CDTF">2006-06-04T19:32:00Z</dcterms:created>
  <dcterms:modified xsi:type="dcterms:W3CDTF">2026-10-21T17:10:19Z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57CEE469C2B34D55B817F88B2887FD72_13</vt:lpwstr>
  </property>
  <property fmtid="{D5CDD505-2E9C-101B-9397-08002B2CF9AE}" pid="3" name="KSOProductBuildVer">
    <vt:lpwstr>1033-12.1.0.28485</vt:lpwstr>
  </property>
  <property fmtid="{D5CDD505-2E9C-101B-9397-08002B2CF9AE}" pid="4" name="CalculationRule">
    <vt:i4>0</vt:i4>
  </property>
</Properties>
</file>